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chartsheets/sheet1.xml" ContentType="application/vnd.openxmlformats-officedocument.spreadsheetml.chartsheet+xml"/>
  <Override PartName="/xl/chartsheets/sheet2.xml" ContentType="application/vnd.openxmlformats-officedocument.spreadsheetml.chartsheet+xml"/>
  <Override PartName="/xl/chartsheets/sheet3.xml" ContentType="application/vnd.openxmlformats-officedocument.spreadsheetml.chartsheet+xml"/>
  <Override PartName="/xl/chartsheets/sheet4.xml" ContentType="application/vnd.openxmlformats-officedocument.spreadsheetml.chartsheet+xml"/>
  <Override PartName="/xl/chartsheets/sheet5.xml" ContentType="application/vnd.openxmlformats-officedocument.spreadsheetml.chart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4.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5.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6.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7.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showInkAnnotation="0"/>
  <mc:AlternateContent xmlns:mc="http://schemas.openxmlformats.org/markup-compatibility/2006">
    <mc:Choice Requires="x15">
      <x15ac:absPath xmlns:x15ac="http://schemas.microsoft.com/office/spreadsheetml/2010/11/ac" url="\\INP02CMMWD004\LAB Working DIR\Calib\1.All Files\Calib Master\Calibration Certificates\Non Nabl Certificate\2.Snap gauge\"/>
    </mc:Choice>
  </mc:AlternateContent>
  <bookViews>
    <workbookView xWindow="0" yWindow="0" windowWidth="19200" windowHeight="11340" tabRatio="277" firstSheet="4" activeTab="6"/>
  </bookViews>
  <sheets>
    <sheet name="PP (T)" sheetId="1" r:id="rId1"/>
    <sheet name="Chart1" sheetId="3" r:id="rId2"/>
    <sheet name="Chart2" sheetId="4" state="hidden" r:id="rId3"/>
    <sheet name="Chart3" sheetId="5" state="hidden" r:id="rId4"/>
    <sheet name="Chart4" sheetId="6" r:id="rId5"/>
    <sheet name="Chart5" sheetId="7" state="hidden" r:id="rId6"/>
    <sheet name="PPG (R)" sheetId="2" r:id="rId7"/>
  </sheets>
  <definedNames>
    <definedName name="_xlnm.Print_Area" localSheetId="6">'PPG (R)'!$A$1:$P$52</definedName>
  </definedName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34" i="2" l="1"/>
  <c r="F33" i="2"/>
  <c r="B9" i="2" l="1"/>
  <c r="B8" i="2"/>
  <c r="B7" i="2"/>
  <c r="Q9" i="2" l="1"/>
  <c r="R20" i="2"/>
  <c r="Q14" i="2"/>
  <c r="Q13" i="2"/>
  <c r="R25" i="2" l="1"/>
  <c r="N25" i="2" s="1"/>
  <c r="S34" i="2"/>
  <c r="S25" i="2"/>
  <c r="H25" i="2" s="1"/>
  <c r="B7" i="1"/>
  <c r="B8" i="1"/>
  <c r="B9" i="1"/>
  <c r="B10" i="1"/>
  <c r="R26" i="1"/>
  <c r="K32" i="1"/>
  <c r="M32" i="1" s="1"/>
  <c r="K33" i="1"/>
  <c r="M33" i="1" s="1"/>
  <c r="K34" i="1"/>
  <c r="M34" i="1" s="1"/>
  <c r="K35" i="1"/>
  <c r="M35" i="1" s="1"/>
  <c r="R34" i="2" l="1"/>
  <c r="R33" i="2"/>
  <c r="S33" i="2" l="1"/>
</calcChain>
</file>

<file path=xl/sharedStrings.xml><?xml version="1.0" encoding="utf-8"?>
<sst xmlns="http://schemas.openxmlformats.org/spreadsheetml/2006/main" count="166" uniqueCount="128">
  <si>
    <t>CALIBRATION CERTIFICATE</t>
  </si>
  <si>
    <t>PLANT 2</t>
  </si>
  <si>
    <t>NABL ACCREDITATION</t>
  </si>
  <si>
    <t>CERTIFICATE NO.C0452</t>
  </si>
  <si>
    <t>CUSTOMER</t>
  </si>
  <si>
    <t>INSTRUMENT</t>
  </si>
  <si>
    <t>PLAIN PLUG GAUGE</t>
  </si>
  <si>
    <t>MAKE</t>
  </si>
  <si>
    <t>MERC</t>
  </si>
  <si>
    <t>RANGE / LC</t>
  </si>
  <si>
    <t>GO:</t>
  </si>
  <si>
    <t>NOGO:</t>
  </si>
  <si>
    <t>DATE OF CALIBRATION</t>
  </si>
  <si>
    <t>17.08.2011</t>
  </si>
  <si>
    <t>INSTRUMENT CODE</t>
  </si>
  <si>
    <t>SANSERA LAB ID NO</t>
  </si>
  <si>
    <t>IWPP08081123</t>
  </si>
  <si>
    <t>REPORT NO</t>
  </si>
  <si>
    <t>PP17081101</t>
  </si>
  <si>
    <r>
      <t xml:space="preserve">          </t>
    </r>
    <r>
      <rPr>
        <b/>
        <u/>
        <sz val="10"/>
        <rFont val="Arial"/>
        <family val="2"/>
      </rPr>
      <t xml:space="preserve"> MASTER EQUIPMENT DETAILS</t>
    </r>
  </si>
  <si>
    <r>
      <t xml:space="preserve">         </t>
    </r>
    <r>
      <rPr>
        <b/>
        <u/>
        <sz val="10"/>
        <rFont val="Arial"/>
        <family val="2"/>
      </rPr>
      <t>TRACEABILITY</t>
    </r>
  </si>
  <si>
    <t>1) MASTER GAUGE BLOCKS SET Make : Mikronix Code:</t>
  </si>
  <si>
    <t xml:space="preserve">1)Traceable to National Standards through NABL </t>
  </si>
  <si>
    <t>SGB-10024268 (Calibrated at Mikronix Lab Aurangabad)</t>
  </si>
  <si>
    <t>Accreditation Lab.No:C0057 Vide Certificate No:</t>
  </si>
  <si>
    <t>5434 Valid upto June 2013</t>
  </si>
  <si>
    <t xml:space="preserve">2)DIAL COMPARATOR STAND Make : Jafuji  </t>
  </si>
  <si>
    <t xml:space="preserve">2)Traceable to National Standards through NABL   </t>
  </si>
  <si>
    <t>Code:CS-10016733 (Calibrated at Vasals Lab Bangalore)</t>
  </si>
  <si>
    <t xml:space="preserve">Accreditation Lab.No:C0445 Vide Certificate No: </t>
  </si>
  <si>
    <t>2012/VML/0656 Valid upto April 2013</t>
  </si>
  <si>
    <t xml:space="preserve">3)DIAL INDICATOR Make : Mahr Code:DI-10030532 </t>
  </si>
  <si>
    <t xml:space="preserve">3)Traceable to National Standards through NABL </t>
  </si>
  <si>
    <t>(Calibrated at CMTI Lab Bangalore)</t>
  </si>
  <si>
    <t>Accreditation Lab.No:C0224 Vide Certificate No:</t>
  </si>
  <si>
    <t>12/53/01/352-L/3/187 Valid upto July 2013</t>
  </si>
  <si>
    <r>
      <t xml:space="preserve">EXPANDED UNCERTAINTY   : </t>
    </r>
    <r>
      <rPr>
        <sz val="10"/>
        <rFont val="Arial"/>
        <family val="2"/>
      </rPr>
      <t>±2.0µm  ( The uncertainty of measurement is expressed at 95% Confidence with</t>
    </r>
  </si>
  <si>
    <t xml:space="preserve"> coverage factor K-1.96)</t>
  </si>
  <si>
    <r>
      <t>CALIBRATION PROCEDURE :</t>
    </r>
    <r>
      <rPr>
        <sz val="10"/>
        <rFont val="Arial"/>
        <family val="2"/>
      </rPr>
      <t>Expression of the Gauge error was done on Dial comparator stand with the Supramess</t>
    </r>
  </si>
  <si>
    <t>ENVIRONMENTAL                                   CONDITIONS</t>
  </si>
  <si>
    <t xml:space="preserve">TEMP </t>
  </si>
  <si>
    <t>20 ± 2° C</t>
  </si>
  <si>
    <t>RH</t>
  </si>
  <si>
    <t xml:space="preserve">50 ± 15% </t>
  </si>
  <si>
    <t>ACTUAL</t>
  </si>
  <si>
    <t>19.90° C</t>
  </si>
  <si>
    <t xml:space="preserve"> CALIBRATION RESULTS</t>
  </si>
  <si>
    <t xml:space="preserve">DESCRIPTION </t>
  </si>
  <si>
    <t xml:space="preserve">GAUGE SPECIFICATION </t>
  </si>
  <si>
    <t>T1</t>
  </si>
  <si>
    <t>T2</t>
  </si>
  <si>
    <t>T3</t>
  </si>
  <si>
    <t>T4</t>
  </si>
  <si>
    <t>T5</t>
  </si>
  <si>
    <t>AVERAGE</t>
  </si>
  <si>
    <t>STANDARD DEVIATION</t>
  </si>
  <si>
    <t>GO (MAX)</t>
  </si>
  <si>
    <t>GO (MIN)</t>
  </si>
  <si>
    <t>NOGO (MAX)</t>
  </si>
  <si>
    <t>NOGO (MIN)</t>
  </si>
  <si>
    <t>Balachandar M.</t>
  </si>
  <si>
    <t>Calibrated By</t>
  </si>
  <si>
    <t>Lab Incharge</t>
  </si>
  <si>
    <t>Sivasubramaniam S.</t>
  </si>
  <si>
    <t>Name</t>
  </si>
  <si>
    <t>Nanda Kumar K.</t>
  </si>
  <si>
    <t>Manjesha B.M.</t>
  </si>
  <si>
    <r>
      <t>NOTE :</t>
    </r>
    <r>
      <rPr>
        <sz val="10"/>
        <rFont val="Arial"/>
        <family val="2"/>
      </rPr>
      <t>1)The results given in Calibration Certificate are valid only to the particular instrument submitted for calibration under the above stated condition, certificate shall not be reproduced with out the written permission of the Laboratory</t>
    </r>
  </si>
  <si>
    <t>Sathisha K.M.</t>
  </si>
  <si>
    <t>Gopi V.</t>
  </si>
  <si>
    <t xml:space="preserve">             2) Calibration Results are in mm</t>
  </si>
  <si>
    <t>SANSERA ENGINEERING (P) LTD.</t>
  </si>
  <si>
    <t>261/C, Bommasandra Industrial Area , Hebbagodi Post , Anekal Taluk, Bangalore -560 099</t>
  </si>
  <si>
    <t xml:space="preserve"> Ph:080-7833442 / 7833056 / 7835461-64, Fax : 080-7833642</t>
  </si>
  <si>
    <t>E-mail id  :  sansera@vsnl.com,calib@sanseraindia.com</t>
  </si>
  <si>
    <t>RANGE /LC</t>
  </si>
  <si>
    <t>MGPL</t>
  </si>
  <si>
    <t>UNIK</t>
  </si>
  <si>
    <t>CUSTOMER'  REFERENCE</t>
  </si>
  <si>
    <t>DGT</t>
  </si>
  <si>
    <t>OBSERVED  READINGS (MAX)</t>
  </si>
  <si>
    <t>OBSERVED READINGS (MIN)</t>
  </si>
  <si>
    <t>GO</t>
  </si>
  <si>
    <t>NOGO</t>
  </si>
  <si>
    <t>Bend Observed On 'Go' &amp; 'No Go' Side</t>
  </si>
  <si>
    <t>Scratch Marks Observed On 'Go' Side</t>
  </si>
  <si>
    <t>Found OK</t>
  </si>
  <si>
    <t xml:space="preserve"> Damage Observed On 'Go' Side</t>
  </si>
  <si>
    <r>
      <t xml:space="preserve">      NOTE :</t>
    </r>
    <r>
      <rPr>
        <sz val="10"/>
        <rFont val="Arial"/>
        <family val="2"/>
      </rPr>
      <t xml:space="preserve">1)The results given in Calibration Certificate are valid only to the particular instrument submitted for calibration </t>
    </r>
  </si>
  <si>
    <t xml:space="preserve">      under the above stated condition, certificate shall not be reproduced with out the written permission of the Laboratory</t>
  </si>
  <si>
    <t xml:space="preserve">                  3)Condition of the MI / Gauges as Received.: Found OK</t>
  </si>
  <si>
    <t>261/C, Bommasandra Industrial Area, Hebbagodi Post, Anekal Taluk, Bangalore -560 099</t>
  </si>
  <si>
    <t xml:space="preserve">50 ± 10% </t>
  </si>
  <si>
    <t>ULR NO</t>
  </si>
  <si>
    <t>Accreditation Lab. No:CC-2102 Vide Certificate No:</t>
  </si>
  <si>
    <t>PROG PLUG GAUGE</t>
  </si>
  <si>
    <t>E-mail id  :  calib@sansera.in , Nabl_calib@sansera.in</t>
  </si>
  <si>
    <t>KRISHNA</t>
  </si>
  <si>
    <t>ULR-CC239920000012294F</t>
  </si>
  <si>
    <t xml:space="preserve">                  2)Calibration Results are in "mm"</t>
  </si>
  <si>
    <t>TECHNO</t>
  </si>
  <si>
    <t>Mahadevappa.</t>
  </si>
  <si>
    <t>Uday.</t>
  </si>
  <si>
    <t>DATE OF ISSUE</t>
  </si>
  <si>
    <t>SGB-10073420 (Calibrated at Mikronix Lab Aurangabad)</t>
  </si>
  <si>
    <t xml:space="preserve">SG 4109 Valid up to </t>
  </si>
  <si>
    <t>CALIBRATION RESULTS</t>
  </si>
  <si>
    <t>DC No.: 1201080981</t>
  </si>
  <si>
    <t>Byresha B.S</t>
  </si>
  <si>
    <t>PLACE OF CALIBRATION</t>
  </si>
  <si>
    <t>DECIPLINE</t>
  </si>
  <si>
    <t>MECHANICAL DIMENSION</t>
  </si>
  <si>
    <t>METROLOGY LAB</t>
  </si>
  <si>
    <t>GROUP</t>
  </si>
  <si>
    <t>BASIC INSTRUMENT &amp; GAUGE</t>
  </si>
  <si>
    <t>Authorized By</t>
  </si>
  <si>
    <t>***End of Certificate***</t>
  </si>
  <si>
    <t>DATE OF RECEIPT</t>
  </si>
  <si>
    <t xml:space="preserve">INSTRUMENT CODE </t>
  </si>
  <si>
    <t>CERTIFICATE NO</t>
  </si>
  <si>
    <r>
      <t xml:space="preserve">CALIBRATION PROCEDURE : </t>
    </r>
    <r>
      <rPr>
        <sz val="10"/>
        <rFont val="Arial"/>
        <family val="2"/>
      </rPr>
      <t>Expression of Gauge Error was done by Gauge Blocks. As per SWI/LAB/011</t>
    </r>
  </si>
  <si>
    <t>SNAP GAUGE</t>
  </si>
  <si>
    <t>METROLOGY LABORATORY, SANSERA ENGINEERING  LTD.</t>
  </si>
  <si>
    <t>DC No.: 1201090211</t>
  </si>
  <si>
    <t>IWSG300125209</t>
  </si>
  <si>
    <t>SAN/25/01/3951</t>
  </si>
  <si>
    <t>~</t>
  </si>
  <si>
    <r>
      <rPr>
        <b/>
        <sz val="10"/>
        <rFont val="Arial"/>
        <family val="2"/>
      </rPr>
      <t>EXPANDED UNCERTAINTY</t>
    </r>
    <r>
      <rPr>
        <sz val="10"/>
        <rFont val="Arial"/>
        <family val="2"/>
      </rPr>
      <t xml:space="preserve"> : ±2.7µm  ( The uncertainty of measurement is expressed at
                          95.45% Confidence with coverage factor K-2)</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</si>
</sst>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164" formatCode="_(* #,##0.00_);_(* \(#,##0.00\);_(* &quot;-&quot;??_);_(@_)"/>
    <numFmt numFmtId="165" formatCode="0.000"/>
    <numFmt numFmtId="166" formatCode="0.0000"/>
    <numFmt numFmtId="167" formatCode="00.00\°\ \C"/>
  </numFmts>
  <fonts count="10">
    <font>
      <sz val="10"/>
      <name val="Arial"/>
      <family val="2"/>
    </font>
    <font>
      <sz val="10"/>
      <name val="Arial"/>
      <family val="2"/>
    </font>
    <font>
      <b/>
      <sz val="14"/>
      <name val="Arial"/>
      <family val="2"/>
    </font>
    <font>
      <b/>
      <sz val="9"/>
      <name val="Arial"/>
      <family val="2"/>
    </font>
    <font>
      <sz val="7"/>
      <color indexed="8"/>
      <name val="Arial"/>
      <family val="2"/>
    </font>
    <font>
      <b/>
      <u/>
      <sz val="10"/>
      <name val="Arial"/>
      <family val="2"/>
    </font>
    <font>
      <sz val="10"/>
      <color indexed="9"/>
      <name val="Arial"/>
      <family val="2"/>
    </font>
    <font>
      <sz val="10"/>
      <name val="Arial MT"/>
      <family val="2"/>
    </font>
    <font>
      <b/>
      <sz val="10"/>
      <name val="Arial"/>
      <family val="2"/>
    </font>
    <font>
      <b/>
      <sz val="11"/>
      <color indexed="12"/>
      <name val="Arial"/>
      <family val="2"/>
    </font>
  </fonts>
  <fills count="3">
    <fill>
      <patternFill patternType="none"/>
    </fill>
    <fill>
      <patternFill patternType="gray125"/>
    </fill>
    <fill>
      <patternFill patternType="solid">
        <fgColor indexed="13"/>
        <bgColor indexed="34"/>
      </patternFill>
    </fill>
  </fills>
  <borders count="42">
    <border>
      <left/>
      <right/>
      <top/>
      <bottom/>
      <diagonal/>
    </border>
    <border>
      <left style="medium">
        <color indexed="8"/>
      </left>
      <right/>
      <top style="medium">
        <color indexed="8"/>
      </top>
      <bottom/>
      <diagonal/>
    </border>
    <border>
      <left/>
      <right/>
      <top style="medium">
        <color indexed="8"/>
      </top>
      <bottom/>
      <diagonal/>
    </border>
    <border>
      <left/>
      <right style="thin">
        <color indexed="8"/>
      </right>
      <top style="medium">
        <color indexed="8"/>
      </top>
      <bottom/>
      <diagonal/>
    </border>
    <border>
      <left style="thin">
        <color indexed="8"/>
      </left>
      <right/>
      <top style="medium">
        <color indexed="8"/>
      </top>
      <bottom/>
      <diagonal/>
    </border>
    <border>
      <left/>
      <right style="medium">
        <color indexed="8"/>
      </right>
      <top style="medium">
        <color indexed="8"/>
      </top>
      <bottom/>
      <diagonal/>
    </border>
    <border>
      <left style="medium">
        <color indexed="8"/>
      </left>
      <right/>
      <top/>
      <bottom/>
      <diagonal/>
    </border>
    <border>
      <left/>
      <right style="thin">
        <color indexed="8"/>
      </right>
      <top/>
      <bottom/>
      <diagonal/>
    </border>
    <border>
      <left style="thin">
        <color indexed="8"/>
      </left>
      <right/>
      <top/>
      <bottom/>
      <diagonal/>
    </border>
    <border>
      <left/>
      <right style="medium">
        <color indexed="8"/>
      </right>
      <top/>
      <bottom/>
      <diagonal/>
    </border>
    <border>
      <left style="thin">
        <color indexed="8"/>
      </left>
      <right/>
      <top/>
      <bottom style="thin">
        <color indexed="8"/>
      </bottom>
      <diagonal/>
    </border>
    <border>
      <left/>
      <right/>
      <top/>
      <bottom style="thin">
        <color indexed="8"/>
      </bottom>
      <diagonal/>
    </border>
    <border>
      <left/>
      <right style="medium">
        <color indexed="8"/>
      </right>
      <top/>
      <bottom style="thin">
        <color indexed="8"/>
      </bottom>
      <diagonal/>
    </border>
    <border>
      <left/>
      <right/>
      <top style="thin">
        <color indexed="8"/>
      </top>
      <bottom/>
      <diagonal/>
    </border>
    <border>
      <left/>
      <right style="thin">
        <color indexed="8"/>
      </right>
      <top style="thin">
        <color indexed="8"/>
      </top>
      <bottom/>
      <diagonal/>
    </border>
    <border>
      <left style="thin">
        <color indexed="8"/>
      </left>
      <right/>
      <top style="thin">
        <color indexed="8"/>
      </top>
      <bottom style="thin">
        <color indexed="8"/>
      </bottom>
      <diagonal/>
    </border>
    <border>
      <left/>
      <right/>
      <top style="thin">
        <color indexed="8"/>
      </top>
      <bottom style="thin">
        <color indexed="8"/>
      </bottom>
      <diagonal/>
    </border>
    <border>
      <left/>
      <right style="thin">
        <color indexed="8"/>
      </right>
      <top style="thin">
        <color indexed="8"/>
      </top>
      <bottom style="thin">
        <color indexed="8"/>
      </bottom>
      <diagonal/>
    </border>
    <border>
      <left/>
      <right style="medium">
        <color indexed="8"/>
      </right>
      <top style="thin">
        <color indexed="8"/>
      </top>
      <bottom style="thin">
        <color indexed="8"/>
      </bottom>
      <diagonal/>
    </border>
    <border>
      <left style="medium">
        <color indexed="8"/>
      </left>
      <right/>
      <top/>
      <bottom style="thin">
        <color indexed="8"/>
      </bottom>
      <diagonal/>
    </border>
    <border>
      <left/>
      <right style="thin">
        <color indexed="8"/>
      </right>
      <top/>
      <bottom style="thin">
        <color indexed="8"/>
      </bottom>
      <diagonal/>
    </border>
    <border>
      <left style="medium">
        <color indexed="8"/>
      </left>
      <right/>
      <top style="thin">
        <color indexed="8"/>
      </top>
      <bottom/>
      <diagonal/>
    </border>
    <border>
      <left/>
      <right style="medium">
        <color indexed="8"/>
      </right>
      <top style="thin">
        <color indexed="8"/>
      </top>
      <bottom/>
      <diagonal/>
    </border>
    <border>
      <left style="thin">
        <color indexed="8"/>
      </left>
      <right style="thin">
        <color indexed="8"/>
      </right>
      <top style="thin">
        <color indexed="8"/>
      </top>
      <bottom style="thin">
        <color indexed="8"/>
      </bottom>
      <diagonal/>
    </border>
    <border>
      <left/>
      <right/>
      <top/>
      <bottom style="medium">
        <color indexed="12"/>
      </bottom>
      <diagonal/>
    </border>
    <border>
      <left style="medium">
        <color indexed="12"/>
      </left>
      <right style="medium">
        <color indexed="12"/>
      </right>
      <top style="medium">
        <color indexed="12"/>
      </top>
      <bottom style="medium">
        <color indexed="12"/>
      </bottom>
      <diagonal/>
    </border>
    <border>
      <left style="medium">
        <color indexed="12"/>
      </left>
      <right/>
      <top/>
      <bottom/>
      <diagonal/>
    </border>
    <border>
      <left style="medium">
        <color indexed="8"/>
      </left>
      <right style="thin">
        <color indexed="8"/>
      </right>
      <top style="thin">
        <color indexed="8"/>
      </top>
      <bottom/>
      <diagonal/>
    </border>
    <border>
      <left style="thin">
        <color indexed="8"/>
      </left>
      <right style="medium">
        <color indexed="8"/>
      </right>
      <top style="thin">
        <color indexed="8"/>
      </top>
      <bottom/>
      <diagonal/>
    </border>
    <border>
      <left style="thin">
        <color indexed="8"/>
      </left>
      <right style="thin">
        <color indexed="8"/>
      </right>
      <top style="medium">
        <color indexed="8"/>
      </top>
      <bottom style="thin">
        <color indexed="8"/>
      </bottom>
      <diagonal/>
    </border>
    <border>
      <left style="thin">
        <color indexed="8"/>
      </left>
      <right style="medium">
        <color indexed="8"/>
      </right>
      <top/>
      <bottom/>
      <diagonal/>
    </border>
    <border>
      <left style="medium">
        <color indexed="8"/>
      </left>
      <right style="thin">
        <color indexed="8"/>
      </right>
      <top/>
      <bottom/>
      <diagonal/>
    </border>
    <border>
      <left style="medium">
        <color indexed="8"/>
      </left>
      <right style="thin">
        <color indexed="8"/>
      </right>
      <top/>
      <bottom style="thin">
        <color indexed="8"/>
      </bottom>
      <diagonal/>
    </border>
    <border>
      <left style="thin">
        <color indexed="8"/>
      </left>
      <right style="medium">
        <color indexed="8"/>
      </right>
      <top style="thin">
        <color indexed="8"/>
      </top>
      <bottom style="thin">
        <color indexed="8"/>
      </bottom>
      <diagonal/>
    </border>
    <border>
      <left style="medium">
        <color indexed="8"/>
      </left>
      <right style="medium">
        <color indexed="8"/>
      </right>
      <top/>
      <bottom style="thin">
        <color indexed="8"/>
      </bottom>
      <diagonal/>
    </border>
    <border>
      <left style="medium">
        <color indexed="8"/>
      </left>
      <right style="thin">
        <color indexed="8"/>
      </right>
      <top style="thin">
        <color indexed="8"/>
      </top>
      <bottom style="thin">
        <color indexed="8"/>
      </bottom>
      <diagonal/>
    </border>
    <border>
      <left style="medium">
        <color indexed="8"/>
      </left>
      <right style="medium">
        <color indexed="8"/>
      </right>
      <top/>
      <bottom/>
      <diagonal/>
    </border>
    <border>
      <left style="medium">
        <color indexed="8"/>
      </left>
      <right style="medium">
        <color indexed="8"/>
      </right>
      <top style="thin">
        <color indexed="8"/>
      </top>
      <bottom/>
      <diagonal/>
    </border>
    <border>
      <left style="thin">
        <color indexed="8"/>
      </left>
      <right/>
      <top style="thin">
        <color indexed="8"/>
      </top>
      <bottom/>
      <diagonal/>
    </border>
    <border>
      <left style="thin">
        <color indexed="8"/>
      </left>
      <right style="medium">
        <color indexed="8"/>
      </right>
      <top/>
      <bottom style="thin">
        <color indexed="8"/>
      </bottom>
      <diagonal/>
    </border>
    <border>
      <left style="medium">
        <color indexed="8"/>
      </left>
      <right style="medium">
        <color indexed="8"/>
      </right>
      <top/>
      <bottom style="medium">
        <color indexed="8"/>
      </bottom>
      <diagonal/>
    </border>
    <border>
      <left style="medium">
        <color indexed="8"/>
      </left>
      <right/>
      <top style="thin">
        <color indexed="8"/>
      </top>
      <bottom style="thin">
        <color indexed="8"/>
      </bottom>
      <diagonal/>
    </border>
  </borders>
  <cellStyleXfs count="2">
    <xf numFmtId="0" fontId="0" fillId="0" borderId="0"/>
    <xf numFmtId="164" fontId="1" fillId="0" borderId="0" applyFill="0" applyBorder="0" applyAlignment="0" applyProtection="0"/>
  </cellStyleXfs>
  <cellXfs count="167">
    <xf numFmtId="0" fontId="0" fillId="0" borderId="0" xfId="0"/>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10" xfId="0" applyBorder="1"/>
    <xf numFmtId="0" fontId="0" fillId="0" borderId="11" xfId="0" applyBorder="1"/>
    <xf numFmtId="0" fontId="0" fillId="0" borderId="12" xfId="0" applyBorder="1"/>
    <xf numFmtId="0" fontId="5" fillId="0" borderId="13" xfId="0" applyFont="1" applyBorder="1"/>
    <xf numFmtId="0" fontId="0" fillId="0" borderId="13" xfId="0" applyBorder="1"/>
    <xf numFmtId="0" fontId="0" fillId="0" borderId="14" xfId="0" applyBorder="1"/>
    <xf numFmtId="0" fontId="0" fillId="0" borderId="15" xfId="0" applyBorder="1"/>
    <xf numFmtId="0" fontId="0" fillId="0" borderId="16" xfId="0" applyBorder="1"/>
    <xf numFmtId="0" fontId="0" fillId="0" borderId="17" xfId="0" applyBorder="1"/>
    <xf numFmtId="0" fontId="6" fillId="0" borderId="6" xfId="0" applyFont="1" applyBorder="1"/>
    <xf numFmtId="0" fontId="7" fillId="0" borderId="0" xfId="0" applyFont="1" applyAlignment="1">
      <alignment horizontal="left"/>
    </xf>
    <xf numFmtId="165" fontId="0" fillId="0" borderId="16" xfId="0" applyNumberFormat="1" applyBorder="1" applyAlignment="1">
      <alignment horizontal="center"/>
    </xf>
    <xf numFmtId="165" fontId="0" fillId="0" borderId="15" xfId="0" applyNumberFormat="1" applyBorder="1"/>
    <xf numFmtId="165" fontId="0" fillId="0" borderId="18" xfId="0" applyNumberFormat="1" applyBorder="1" applyAlignment="1">
      <alignment horizontal="center"/>
    </xf>
    <xf numFmtId="0" fontId="0" fillId="0" borderId="19" xfId="0" applyBorder="1"/>
    <xf numFmtId="0" fontId="0" fillId="0" borderId="20" xfId="0" applyBorder="1"/>
    <xf numFmtId="0" fontId="0" fillId="0" borderId="6" xfId="0" applyBorder="1" applyAlignment="1">
      <alignment vertical="center"/>
    </xf>
    <xf numFmtId="0" fontId="0" fillId="0" borderId="0" xfId="0" applyAlignment="1">
      <alignment horizontal="center" vertical="center"/>
    </xf>
    <xf numFmtId="0" fontId="0" fillId="0" borderId="7" xfId="0" applyBorder="1" applyAlignment="1">
      <alignment horizontal="center" vertical="center"/>
    </xf>
    <xf numFmtId="0" fontId="0" fillId="0" borderId="0" xfId="0" applyAlignment="1">
      <alignment vertical="center"/>
    </xf>
    <xf numFmtId="0" fontId="0" fillId="0" borderId="9" xfId="0" applyBorder="1" applyAlignment="1">
      <alignment horizontal="center" vertical="center"/>
    </xf>
    <xf numFmtId="0" fontId="0" fillId="0" borderId="0" xfId="0" applyAlignment="1">
      <alignment horizontal="center"/>
    </xf>
    <xf numFmtId="0" fontId="0" fillId="0" borderId="0" xfId="0" applyAlignment="1">
      <alignment horizontal="left" vertical="center"/>
    </xf>
    <xf numFmtId="0" fontId="0" fillId="0" borderId="7" xfId="0" applyBorder="1" applyAlignment="1">
      <alignment vertical="center"/>
    </xf>
    <xf numFmtId="0" fontId="0" fillId="0" borderId="9" xfId="0" applyBorder="1" applyAlignment="1">
      <alignment vertical="center"/>
    </xf>
    <xf numFmtId="0" fontId="0" fillId="0" borderId="19" xfId="0" applyBorder="1" applyAlignment="1">
      <alignment vertical="center"/>
    </xf>
    <xf numFmtId="0" fontId="0" fillId="0" borderId="11" xfId="0" applyBorder="1" applyAlignment="1">
      <alignment vertical="center"/>
    </xf>
    <xf numFmtId="0" fontId="0" fillId="0" borderId="20" xfId="0" applyBorder="1" applyAlignment="1">
      <alignment vertical="center"/>
    </xf>
    <xf numFmtId="0" fontId="0" fillId="0" borderId="12" xfId="0" applyBorder="1" applyAlignment="1">
      <alignment vertical="center"/>
    </xf>
    <xf numFmtId="0" fontId="8" fillId="0" borderId="21" xfId="0" applyFont="1" applyBorder="1" applyAlignment="1">
      <alignment vertical="center"/>
    </xf>
    <xf numFmtId="0" fontId="0" fillId="0" borderId="22" xfId="0" applyBorder="1"/>
    <xf numFmtId="2" fontId="0" fillId="0" borderId="0" xfId="0" applyNumberFormat="1" applyAlignment="1">
      <alignment horizontal="left"/>
    </xf>
    <xf numFmtId="0" fontId="0" fillId="0" borderId="13" xfId="0" applyBorder="1" applyAlignment="1">
      <alignment vertical="center" wrapText="1"/>
    </xf>
    <xf numFmtId="0" fontId="0" fillId="0" borderId="22" xfId="0" applyBorder="1" applyAlignment="1">
      <alignment vertical="center" wrapText="1"/>
    </xf>
    <xf numFmtId="0" fontId="8" fillId="0" borderId="6" xfId="0" applyFont="1" applyBorder="1" applyAlignment="1">
      <alignment vertical="center"/>
    </xf>
    <xf numFmtId="0" fontId="8" fillId="0" borderId="0" xfId="0" applyFont="1" applyAlignment="1">
      <alignment vertical="center"/>
    </xf>
    <xf numFmtId="0" fontId="8" fillId="0" borderId="9" xfId="0" applyFont="1" applyBorder="1" applyAlignment="1">
      <alignment vertical="center"/>
    </xf>
    <xf numFmtId="0" fontId="8" fillId="0" borderId="23" xfId="0" applyFont="1" applyBorder="1" applyAlignment="1">
      <alignment horizontal="center" vertical="center"/>
    </xf>
    <xf numFmtId="166" fontId="8" fillId="0" borderId="23" xfId="0" applyNumberFormat="1" applyFont="1" applyBorder="1" applyAlignment="1">
      <alignment horizontal="center" vertical="center" wrapText="1"/>
    </xf>
    <xf numFmtId="166" fontId="9" fillId="0" borderId="0" xfId="0" applyNumberFormat="1" applyFont="1" applyAlignment="1">
      <alignment vertical="center" wrapText="1"/>
    </xf>
    <xf numFmtId="166" fontId="0" fillId="0" borderId="23" xfId="0" applyNumberFormat="1" applyBorder="1" applyAlignment="1">
      <alignment horizontal="center" vertical="center"/>
    </xf>
    <xf numFmtId="0" fontId="0" fillId="0" borderId="23" xfId="0" applyBorder="1" applyAlignment="1">
      <alignment horizontal="center" vertical="center"/>
    </xf>
    <xf numFmtId="0" fontId="0" fillId="0" borderId="13" xfId="0" applyBorder="1" applyAlignment="1">
      <alignment horizontal="center" vertical="center"/>
    </xf>
    <xf numFmtId="165" fontId="0" fillId="0" borderId="13" xfId="0" applyNumberFormat="1" applyBorder="1" applyAlignment="1">
      <alignment horizontal="center" vertical="center"/>
    </xf>
    <xf numFmtId="165" fontId="0" fillId="0" borderId="0" xfId="0" applyNumberFormat="1" applyAlignment="1">
      <alignment horizontal="center" vertical="center"/>
    </xf>
    <xf numFmtId="165" fontId="0" fillId="0" borderId="0" xfId="0" applyNumberFormat="1" applyAlignment="1">
      <alignment horizontal="left" vertical="center"/>
    </xf>
    <xf numFmtId="165" fontId="0" fillId="0" borderId="0" xfId="0" applyNumberFormat="1" applyAlignment="1">
      <alignment vertical="center"/>
    </xf>
    <xf numFmtId="0" fontId="8" fillId="0" borderId="0" xfId="0" applyFont="1"/>
    <xf numFmtId="2" fontId="8" fillId="0" borderId="0" xfId="0" applyNumberFormat="1" applyFont="1" applyAlignment="1">
      <alignment horizontal="left"/>
    </xf>
    <xf numFmtId="166" fontId="0" fillId="0" borderId="0" xfId="0" applyNumberFormat="1"/>
    <xf numFmtId="10" fontId="0" fillId="0" borderId="0" xfId="0" applyNumberFormat="1"/>
    <xf numFmtId="0" fontId="0" fillId="0" borderId="6" xfId="0" applyBorder="1" applyAlignment="1">
      <alignment vertical="center" wrapText="1"/>
    </xf>
    <xf numFmtId="0" fontId="0" fillId="0" borderId="0" xfId="0" applyAlignment="1">
      <alignment vertical="center" wrapText="1"/>
    </xf>
    <xf numFmtId="1" fontId="0" fillId="0" borderId="9" xfId="0" applyNumberFormat="1" applyBorder="1" applyAlignment="1">
      <alignment vertical="center" wrapText="1"/>
    </xf>
    <xf numFmtId="0" fontId="0" fillId="0" borderId="9" xfId="0" applyBorder="1" applyAlignment="1">
      <alignment vertical="center" wrapText="1"/>
    </xf>
    <xf numFmtId="0" fontId="0" fillId="0" borderId="24" xfId="0" applyBorder="1" applyAlignment="1">
      <alignment vertical="center" wrapText="1"/>
    </xf>
    <xf numFmtId="166" fontId="9" fillId="2" borderId="25" xfId="0" applyNumberFormat="1" applyFont="1" applyFill="1" applyBorder="1" applyAlignment="1">
      <alignment vertical="center" wrapText="1"/>
    </xf>
    <xf numFmtId="166" fontId="9" fillId="0" borderId="26" xfId="0" applyNumberFormat="1" applyFont="1" applyBorder="1" applyAlignment="1">
      <alignment vertical="center" wrapText="1"/>
    </xf>
    <xf numFmtId="14" fontId="0" fillId="0" borderId="0" xfId="0" applyNumberFormat="1"/>
    <xf numFmtId="2" fontId="0" fillId="0" borderId="0" xfId="0" applyNumberFormat="1" applyAlignment="1" applyProtection="1">
      <alignment horizontal="left"/>
      <protection locked="0"/>
    </xf>
    <xf numFmtId="166" fontId="0" fillId="0" borderId="0" xfId="0" applyNumberFormat="1" applyAlignment="1" applyProtection="1">
      <alignment horizontal="left"/>
      <protection locked="0"/>
    </xf>
    <xf numFmtId="166" fontId="0" fillId="0" borderId="0" xfId="0" applyNumberFormat="1" applyAlignment="1" applyProtection="1">
      <alignment horizontal="left" vertical="center" wrapText="1"/>
      <protection locked="0"/>
    </xf>
    <xf numFmtId="0" fontId="0" fillId="0" borderId="33" xfId="0" applyBorder="1" applyAlignment="1">
      <alignment horizontal="center"/>
    </xf>
    <xf numFmtId="165" fontId="0" fillId="0" borderId="16" xfId="0" quotePrefix="1" applyNumberFormat="1" applyBorder="1" applyAlignment="1">
      <alignment horizontal="center"/>
    </xf>
    <xf numFmtId="165" fontId="0" fillId="0" borderId="18" xfId="0" quotePrefix="1" applyNumberFormat="1" applyBorder="1" applyAlignment="1">
      <alignment horizontal="center"/>
    </xf>
    <xf numFmtId="0" fontId="0" fillId="0" borderId="2" xfId="0" applyBorder="1" applyAlignment="1">
      <alignment horizontal="right"/>
    </xf>
    <xf numFmtId="0" fontId="0" fillId="0" borderId="38" xfId="0" applyBorder="1" applyAlignment="1">
      <alignment horizontal="center" vertical="center"/>
    </xf>
    <xf numFmtId="0" fontId="0" fillId="0" borderId="23" xfId="0" applyBorder="1" applyAlignment="1">
      <alignment horizontal="center" vertical="center"/>
    </xf>
    <xf numFmtId="0" fontId="8" fillId="0" borderId="37" xfId="0" applyFont="1" applyBorder="1" applyAlignment="1">
      <alignment horizontal="center"/>
    </xf>
    <xf numFmtId="0" fontId="0" fillId="0" borderId="36" xfId="0" applyBorder="1" applyAlignment="1">
      <alignment horizontal="center"/>
    </xf>
    <xf numFmtId="0" fontId="0" fillId="0" borderId="15" xfId="0" applyBorder="1" applyAlignment="1">
      <alignment horizontal="center" vertical="center"/>
    </xf>
    <xf numFmtId="0" fontId="8" fillId="0" borderId="37" xfId="0" applyFont="1" applyBorder="1" applyAlignment="1">
      <alignment horizontal="center" vertical="center" wrapText="1"/>
    </xf>
    <xf numFmtId="166" fontId="0" fillId="0" borderId="0" xfId="0" applyNumberFormat="1" applyAlignment="1">
      <alignment horizontal="center" vertical="center"/>
    </xf>
    <xf numFmtId="0" fontId="0" fillId="0" borderId="0" xfId="0" applyAlignment="1">
      <alignment horizontal="center" vertical="center" wrapText="1"/>
    </xf>
    <xf numFmtId="165" fontId="0" fillId="0" borderId="0" xfId="0" applyNumberFormat="1" applyAlignment="1">
      <alignment horizontal="center" vertical="center"/>
    </xf>
    <xf numFmtId="0" fontId="0" fillId="0" borderId="0" xfId="0" applyAlignment="1">
      <alignment horizontal="center" vertical="center"/>
    </xf>
    <xf numFmtId="166" fontId="0" fillId="0" borderId="23" xfId="0" applyNumberFormat="1" applyBorder="1" applyAlignment="1">
      <alignment horizontal="center" vertical="center"/>
    </xf>
    <xf numFmtId="166" fontId="0" fillId="0" borderId="17" xfId="0" applyNumberFormat="1" applyBorder="1" applyAlignment="1">
      <alignment horizontal="center" vertical="center"/>
    </xf>
    <xf numFmtId="165" fontId="0" fillId="0" borderId="13" xfId="0" applyNumberFormat="1" applyBorder="1" applyAlignment="1">
      <alignment horizontal="center" vertical="center"/>
    </xf>
    <xf numFmtId="0" fontId="0" fillId="0" borderId="34" xfId="0" applyBorder="1" applyAlignment="1">
      <alignment horizontal="left" vertical="center"/>
    </xf>
    <xf numFmtId="0" fontId="8" fillId="0" borderId="35" xfId="0" applyFont="1" applyBorder="1" applyAlignment="1">
      <alignment horizontal="center" vertical="center" wrapText="1"/>
    </xf>
    <xf numFmtId="0" fontId="0" fillId="0" borderId="23" xfId="0" applyBorder="1" applyAlignment="1">
      <alignment horizontal="center"/>
    </xf>
    <xf numFmtId="0" fontId="0" fillId="0" borderId="33" xfId="0" applyBorder="1" applyAlignment="1">
      <alignment horizontal="center"/>
    </xf>
    <xf numFmtId="0" fontId="8" fillId="0" borderId="11" xfId="0" applyFont="1" applyBorder="1" applyAlignment="1">
      <alignment horizontal="center" vertical="center"/>
    </xf>
    <xf numFmtId="2" fontId="8" fillId="0" borderId="23" xfId="0" applyNumberFormat="1" applyFont="1" applyBorder="1" applyAlignment="1">
      <alignment horizontal="center" vertical="center" wrapText="1"/>
    </xf>
    <xf numFmtId="166" fontId="8" fillId="0" borderId="23" xfId="0" applyNumberFormat="1" applyFont="1" applyBorder="1" applyAlignment="1">
      <alignment horizontal="center" vertical="center" wrapText="1"/>
    </xf>
    <xf numFmtId="166" fontId="8" fillId="0" borderId="17" xfId="0" applyNumberFormat="1" applyFont="1" applyBorder="1" applyAlignment="1">
      <alignment horizontal="center" vertical="center" wrapText="1"/>
    </xf>
    <xf numFmtId="10" fontId="0" fillId="0" borderId="33" xfId="0" applyNumberFormat="1" applyBorder="1" applyAlignment="1">
      <alignment horizontal="center"/>
    </xf>
    <xf numFmtId="0" fontId="8" fillId="0" borderId="27" xfId="0" applyFont="1" applyBorder="1" applyAlignment="1">
      <alignment horizontal="left"/>
    </xf>
    <xf numFmtId="0" fontId="8" fillId="0" borderId="28" xfId="0" applyFont="1" applyBorder="1" applyAlignment="1">
      <alignment horizontal="left"/>
    </xf>
    <xf numFmtId="0" fontId="2" fillId="0" borderId="29" xfId="0" applyFont="1" applyBorder="1" applyAlignment="1">
      <alignment horizontal="center" vertical="center" wrapText="1"/>
    </xf>
    <xf numFmtId="0" fontId="3" fillId="0" borderId="30" xfId="0" applyFont="1" applyBorder="1" applyAlignment="1">
      <alignment horizontal="center"/>
    </xf>
    <xf numFmtId="0" fontId="4" fillId="0" borderId="31" xfId="0" applyFont="1" applyBorder="1" applyAlignment="1">
      <alignment horizontal="center" vertical="center" wrapText="1"/>
    </xf>
    <xf numFmtId="0" fontId="4" fillId="0" borderId="32" xfId="0" applyFont="1" applyBorder="1" applyAlignment="1">
      <alignment horizontal="center" vertical="center" wrapText="1"/>
    </xf>
    <xf numFmtId="0" fontId="0" fillId="0" borderId="38" xfId="0" applyBorder="1" applyAlignment="1">
      <alignment horizontal="center" wrapText="1"/>
    </xf>
    <xf numFmtId="0" fontId="0" fillId="0" borderId="13" xfId="0" applyBorder="1" applyAlignment="1">
      <alignment horizontal="center" wrapText="1"/>
    </xf>
    <xf numFmtId="0" fontId="0" fillId="0" borderId="14" xfId="0" applyBorder="1" applyAlignment="1">
      <alignment horizontal="center" wrapText="1"/>
    </xf>
    <xf numFmtId="0" fontId="0" fillId="0" borderId="10" xfId="0" applyBorder="1" applyAlignment="1">
      <alignment horizontal="center" wrapText="1"/>
    </xf>
    <xf numFmtId="0" fontId="0" fillId="0" borderId="11" xfId="0" applyBorder="1" applyAlignment="1">
      <alignment horizontal="center" wrapText="1"/>
    </xf>
    <xf numFmtId="0" fontId="0" fillId="0" borderId="20" xfId="0" applyBorder="1" applyAlignment="1">
      <alignment horizontal="center" wrapText="1"/>
    </xf>
    <xf numFmtId="0" fontId="0" fillId="0" borderId="40" xfId="0" applyBorder="1" applyAlignment="1">
      <alignment horizontal="right"/>
    </xf>
    <xf numFmtId="0" fontId="0" fillId="0" borderId="36" xfId="0" applyBorder="1" applyAlignment="1">
      <alignment horizontal="left"/>
    </xf>
    <xf numFmtId="0" fontId="0" fillId="0" borderId="32" xfId="0" applyBorder="1" applyAlignment="1">
      <alignment horizontal="center" vertical="center"/>
    </xf>
    <xf numFmtId="0" fontId="0" fillId="0" borderId="16" xfId="0" applyBorder="1" applyAlignment="1">
      <alignment horizontal="center" vertical="center"/>
    </xf>
    <xf numFmtId="0" fontId="0" fillId="0" borderId="17" xfId="0" applyBorder="1" applyAlignment="1">
      <alignment horizontal="center" vertical="center"/>
    </xf>
    <xf numFmtId="0" fontId="0" fillId="0" borderId="39" xfId="0" applyBorder="1" applyAlignment="1">
      <alignment horizontal="center" vertical="center"/>
    </xf>
    <xf numFmtId="14" fontId="0" fillId="0" borderId="0" xfId="0" applyNumberFormat="1" applyAlignment="1">
      <alignment horizontal="left" vertical="center"/>
    </xf>
    <xf numFmtId="166" fontId="0" fillId="0" borderId="23" xfId="0" applyNumberFormat="1" applyBorder="1" applyAlignment="1" applyProtection="1">
      <alignment horizontal="center" vertical="center"/>
      <protection locked="0"/>
    </xf>
    <xf numFmtId="1" fontId="8" fillId="0" borderId="23" xfId="0" applyNumberFormat="1" applyFont="1" applyBorder="1" applyAlignment="1">
      <alignment horizontal="center" vertical="center" wrapText="1"/>
    </xf>
    <xf numFmtId="0" fontId="8" fillId="0" borderId="23" xfId="0" applyFont="1" applyBorder="1" applyAlignment="1">
      <alignment horizontal="center" vertical="center" wrapText="1"/>
    </xf>
    <xf numFmtId="0" fontId="0" fillId="0" borderId="33" xfId="0" applyBorder="1" applyAlignment="1">
      <alignment horizontal="left"/>
    </xf>
    <xf numFmtId="0" fontId="0" fillId="0" borderId="15" xfId="0" applyBorder="1" applyAlignment="1">
      <alignment horizontal="left"/>
    </xf>
    <xf numFmtId="0" fontId="0" fillId="0" borderId="16" xfId="0" applyBorder="1" applyAlignment="1">
      <alignment horizontal="left"/>
    </xf>
    <xf numFmtId="0" fontId="0" fillId="0" borderId="18" xfId="0" applyBorder="1" applyAlignment="1">
      <alignment horizontal="left"/>
    </xf>
    <xf numFmtId="14" fontId="0" fillId="0" borderId="15" xfId="0" applyNumberFormat="1" applyBorder="1" applyAlignment="1">
      <alignment horizontal="left"/>
    </xf>
    <xf numFmtId="14" fontId="0" fillId="0" borderId="16" xfId="0" applyNumberFormat="1" applyBorder="1" applyAlignment="1">
      <alignment horizontal="left"/>
    </xf>
    <xf numFmtId="14" fontId="0" fillId="0" borderId="17" xfId="0" applyNumberFormat="1" applyBorder="1" applyAlignment="1">
      <alignment horizontal="left"/>
    </xf>
    <xf numFmtId="0" fontId="0" fillId="0" borderId="41" xfId="0" applyBorder="1" applyAlignment="1">
      <alignment horizontal="left"/>
    </xf>
    <xf numFmtId="0" fontId="0" fillId="0" borderId="17" xfId="0" applyBorder="1" applyAlignment="1">
      <alignment horizontal="left"/>
    </xf>
    <xf numFmtId="0" fontId="3" fillId="0" borderId="0" xfId="0" applyFont="1" applyAlignment="1">
      <alignment horizontal="center"/>
    </xf>
    <xf numFmtId="0" fontId="0" fillId="0" borderId="15" xfId="0" applyBorder="1" applyAlignment="1">
      <alignment horizontal="center"/>
    </xf>
    <xf numFmtId="0" fontId="0" fillId="0" borderId="16" xfId="0" applyBorder="1" applyAlignment="1">
      <alignment horizontal="center"/>
    </xf>
    <xf numFmtId="0" fontId="0" fillId="0" borderId="18" xfId="0" applyBorder="1" applyAlignment="1">
      <alignment horizontal="center"/>
    </xf>
    <xf numFmtId="0" fontId="0" fillId="0" borderId="12" xfId="0" applyBorder="1" applyAlignment="1">
      <alignment horizontal="center"/>
    </xf>
    <xf numFmtId="0" fontId="0" fillId="0" borderId="39" xfId="0" applyBorder="1" applyAlignment="1">
      <alignment horizontal="center"/>
    </xf>
    <xf numFmtId="0" fontId="0" fillId="0" borderId="10" xfId="0" applyBorder="1" applyAlignment="1">
      <alignment horizontal="center"/>
    </xf>
    <xf numFmtId="1" fontId="0" fillId="0" borderId="15" xfId="0" quotePrefix="1" applyNumberFormat="1" applyBorder="1" applyAlignment="1">
      <alignment horizontal="left"/>
    </xf>
    <xf numFmtId="1" fontId="0" fillId="0" borderId="16" xfId="0" applyNumberFormat="1" applyBorder="1" applyAlignment="1">
      <alignment horizontal="left"/>
    </xf>
    <xf numFmtId="1" fontId="0" fillId="0" borderId="18" xfId="0" applyNumberFormat="1" applyBorder="1" applyAlignment="1">
      <alignment horizontal="left"/>
    </xf>
    <xf numFmtId="14" fontId="0" fillId="0" borderId="33" xfId="0" applyNumberFormat="1" applyBorder="1" applyAlignment="1">
      <alignment horizontal="left"/>
    </xf>
    <xf numFmtId="0" fontId="2" fillId="0" borderId="1" xfId="0" applyFont="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2" fillId="0" borderId="6" xfId="0" applyFont="1" applyBorder="1" applyAlignment="1">
      <alignment horizontal="center" vertical="center" wrapText="1"/>
    </xf>
    <xf numFmtId="0" fontId="2" fillId="0" borderId="0" xfId="0" applyFont="1" applyBorder="1" applyAlignment="1">
      <alignment horizontal="center" vertical="center" wrapText="1"/>
    </xf>
    <xf numFmtId="0" fontId="2" fillId="0" borderId="7" xfId="0" applyFont="1" applyBorder="1" applyAlignment="1">
      <alignment horizontal="center" vertical="center" wrapText="1"/>
    </xf>
    <xf numFmtId="0" fontId="2" fillId="0" borderId="19" xfId="0" applyFont="1" applyBorder="1" applyAlignment="1">
      <alignment horizontal="center" vertical="center" wrapText="1"/>
    </xf>
    <xf numFmtId="0" fontId="2" fillId="0" borderId="11" xfId="0" applyFont="1" applyBorder="1" applyAlignment="1">
      <alignment horizontal="center" vertical="center" wrapText="1"/>
    </xf>
    <xf numFmtId="0" fontId="2" fillId="0" borderId="20" xfId="0" applyFont="1" applyBorder="1" applyAlignment="1">
      <alignment horizontal="center" vertical="center" wrapText="1"/>
    </xf>
    <xf numFmtId="0" fontId="8" fillId="0" borderId="2" xfId="0" applyFont="1" applyBorder="1" applyAlignment="1">
      <alignment horizontal="center"/>
    </xf>
    <xf numFmtId="167" fontId="0" fillId="0" borderId="23" xfId="0" applyNumberFormat="1" applyBorder="1" applyAlignment="1" applyProtection="1">
      <alignment horizontal="center"/>
      <protection locked="0"/>
    </xf>
    <xf numFmtId="0" fontId="8" fillId="0" borderId="21" xfId="0" applyFont="1" applyBorder="1" applyAlignment="1">
      <alignment horizontal="left"/>
    </xf>
    <xf numFmtId="0" fontId="8" fillId="0" borderId="13" xfId="0" applyFont="1" applyBorder="1" applyAlignment="1">
      <alignment horizontal="left"/>
    </xf>
    <xf numFmtId="0" fontId="8" fillId="0" borderId="14" xfId="0" applyFont="1" applyBorder="1" applyAlignment="1">
      <alignment horizontal="left"/>
    </xf>
    <xf numFmtId="164" fontId="0" fillId="0" borderId="33" xfId="1" applyFont="1" applyBorder="1" applyAlignment="1">
      <alignment horizontal="left"/>
    </xf>
    <xf numFmtId="164" fontId="1" fillId="0" borderId="33" xfId="1" applyBorder="1" applyAlignment="1">
      <alignment horizontal="left"/>
    </xf>
    <xf numFmtId="164" fontId="0" fillId="0" borderId="33" xfId="1" applyFont="1" applyBorder="1" applyAlignment="1" applyProtection="1">
      <alignment horizontal="left"/>
    </xf>
    <xf numFmtId="164" fontId="1" fillId="0" borderId="33" xfId="1" applyBorder="1" applyAlignment="1" applyProtection="1">
      <alignment horizontal="left"/>
    </xf>
    <xf numFmtId="10" fontId="0" fillId="0" borderId="33" xfId="0" applyNumberFormat="1" applyBorder="1" applyAlignment="1" applyProtection="1">
      <alignment horizontal="center"/>
      <protection locked="0"/>
    </xf>
    <xf numFmtId="164" fontId="0" fillId="0" borderId="33" xfId="1" applyFont="1" applyBorder="1" applyAlignment="1">
      <alignment horizontal="center"/>
    </xf>
    <xf numFmtId="164" fontId="1" fillId="0" borderId="33" xfId="1" applyBorder="1" applyAlignment="1">
      <alignment horizontal="center"/>
    </xf>
    <xf numFmtId="0" fontId="8" fillId="0" borderId="21" xfId="0" applyFont="1" applyBorder="1" applyAlignment="1">
      <alignment horizontal="left" vertical="center"/>
    </xf>
    <xf numFmtId="0" fontId="8" fillId="0" borderId="13" xfId="0" applyFont="1" applyBorder="1" applyAlignment="1">
      <alignment horizontal="left" vertical="center"/>
    </xf>
    <xf numFmtId="0" fontId="8" fillId="0" borderId="22" xfId="0" applyFont="1" applyBorder="1" applyAlignment="1">
      <alignment horizontal="left" vertical="center"/>
    </xf>
    <xf numFmtId="0" fontId="8" fillId="0" borderId="19" xfId="0" applyFont="1" applyBorder="1" applyAlignment="1">
      <alignment horizontal="left" vertical="center"/>
    </xf>
    <xf numFmtId="0" fontId="8" fillId="0" borderId="11" xfId="0" applyFont="1" applyBorder="1" applyAlignment="1">
      <alignment horizontal="left" vertical="center"/>
    </xf>
    <xf numFmtId="0" fontId="8" fillId="0" borderId="12" xfId="0" applyFont="1" applyBorder="1" applyAlignment="1">
      <alignment horizontal="left" vertical="center"/>
    </xf>
  </cellXfs>
  <cellStyles count="2">
    <cellStyle name="Comma" xfId="1" builtinId="3"/>
    <cellStyle name="Normal" xfId="0" builtinId="0"/>
  </cellStyles>
  <dxfs count="39">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rgb="FF9C0006"/>
      </font>
      <fill>
        <patternFill>
          <bgColor rgb="FF00B0F0"/>
        </patternFill>
      </fill>
    </dxf>
    <dxf>
      <fill>
        <patternFill>
          <bgColor rgb="FF92D050"/>
        </patternFill>
      </fill>
    </dxf>
    <dxf>
      <fill>
        <patternFill>
          <bgColor rgb="FFFF0000"/>
        </patternFill>
      </fill>
    </dxf>
    <dxf>
      <fill>
        <patternFill>
          <bgColor rgb="FFFF0000"/>
        </patternFill>
      </fill>
    </dxf>
    <dxf>
      <fill>
        <patternFill>
          <bgColor rgb="FF00B0F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00B0F0"/>
        </patternFill>
      </fill>
    </dxf>
    <dxf>
      <fill>
        <patternFill>
          <bgColor rgb="FFFF0000"/>
        </patternFill>
      </fill>
    </dxf>
    <dxf>
      <fill>
        <patternFill>
          <bgColor rgb="FFFF0000"/>
        </patternFill>
      </fill>
    </dxf>
    <dxf>
      <fill>
        <patternFill>
          <bgColor rgb="FF00B0F0"/>
        </patternFill>
      </fill>
    </dxf>
    <dxf>
      <fill>
        <patternFill>
          <bgColor rgb="FFFF0000"/>
        </patternFill>
      </fill>
    </dxf>
    <dxf>
      <fill>
        <patternFill>
          <bgColor rgb="FFFF0000"/>
        </patternFill>
      </fill>
    </dxf>
    <dxf>
      <fill>
        <patternFill>
          <bgColor rgb="FFFF0000"/>
        </patternFill>
      </fill>
    </dxf>
    <dxf>
      <fill>
        <patternFill>
          <bgColor rgb="FF00B0F0"/>
        </patternFill>
      </fill>
    </dxf>
    <dxf>
      <fill>
        <patternFill patternType="solid">
          <fgColor indexed="60"/>
          <bgColor indexed="10"/>
        </patternFill>
      </fill>
    </dxf>
    <dxf>
      <fill>
        <patternFill patternType="solid">
          <fgColor indexed="60"/>
          <bgColor indexed="10"/>
        </patternFill>
      </fill>
    </dxf>
    <dxf>
      <fill>
        <patternFill patternType="solid">
          <fgColor indexed="60"/>
          <bgColor indexed="10"/>
        </patternFill>
      </fill>
    </dxf>
    <dxf>
      <fill>
        <patternFill patternType="solid">
          <fgColor indexed="60"/>
          <bgColor indexed="10"/>
        </patternFill>
      </fill>
    </dxf>
    <dxf>
      <fill>
        <patternFill patternType="solid">
          <fgColor indexed="60"/>
          <bgColor indexed="10"/>
        </patternFill>
      </fill>
    </dxf>
    <dxf>
      <fill>
        <patternFill patternType="solid">
          <fgColor indexed="60"/>
          <bgColor indexed="10"/>
        </patternFill>
      </fill>
    </dxf>
    <dxf>
      <fill>
        <patternFill patternType="none">
          <fgColor indexed="64"/>
          <bgColor indexed="65"/>
        </patternFill>
      </fill>
    </dxf>
    <dxf>
      <fill>
        <patternFill patternType="solid">
          <fgColor indexed="60"/>
          <bgColor indexed="10"/>
        </patternFill>
      </fill>
    </dxf>
    <dxf>
      <fill>
        <patternFill patternType="solid">
          <fgColor indexed="60"/>
          <bgColor indexed="10"/>
        </patternFill>
      </fill>
    </dxf>
    <dxf>
      <fill>
        <patternFill patternType="none">
          <fgColor indexed="64"/>
          <bgColor indexed="65"/>
        </patternFill>
      </fill>
    </dxf>
    <dxf>
      <fill>
        <patternFill patternType="solid">
          <fgColor indexed="60"/>
          <bgColor indexed="10"/>
        </patternFill>
      </fill>
    </dxf>
    <dxf>
      <fill>
        <patternFill patternType="solid">
          <fgColor indexed="60"/>
          <bgColor indexed="10"/>
        </patternFill>
      </fill>
    </dxf>
    <dxf>
      <fill>
        <patternFill patternType="none">
          <fgColor indexed="64"/>
          <bgColor indexed="65"/>
        </patternFill>
      </fill>
    </dxf>
    <dxf>
      <fill>
        <patternFill patternType="solid">
          <fgColor indexed="60"/>
          <bgColor indexed="10"/>
        </patternFill>
      </fill>
    </dxf>
    <dxf>
      <fill>
        <patternFill patternType="solid">
          <fgColor indexed="60"/>
          <bgColor indexed="10"/>
        </patternFill>
      </fill>
    </dxf>
    <dxf>
      <fill>
        <patternFill patternType="none">
          <fgColor indexed="64"/>
          <bgColor indexed="6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chartsheet" Target="chartsheets/sheet2.xml"/><Relationship Id="rId7" Type="http://schemas.openxmlformats.org/officeDocument/2006/relationships/worksheet" Target="worksheets/sheet2.xml"/><Relationship Id="rId2" Type="http://schemas.openxmlformats.org/officeDocument/2006/relationships/chartsheet" Target="chartsheets/sheet1.xml"/><Relationship Id="rId1" Type="http://schemas.openxmlformats.org/officeDocument/2006/relationships/worksheet" Target="worksheets/sheet1.xml"/><Relationship Id="rId6" Type="http://schemas.openxmlformats.org/officeDocument/2006/relationships/chartsheet" Target="chartsheets/sheet5.xml"/><Relationship Id="rId11" Type="http://schemas.openxmlformats.org/officeDocument/2006/relationships/calcChain" Target="calcChain.xml"/><Relationship Id="rId5" Type="http://schemas.openxmlformats.org/officeDocument/2006/relationships/chartsheet" Target="chartsheets/sheet4.xml"/><Relationship Id="rId10" Type="http://schemas.openxmlformats.org/officeDocument/2006/relationships/sharedStrings" Target="sharedStrings.xml"/><Relationship Id="rId4" Type="http://schemas.openxmlformats.org/officeDocument/2006/relationships/chartsheet" Target="chartsheets/sheet3.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val>
            <c:numRef>
              <c:f>'PPG (R)'!$C$31:$N$31</c:f>
              <c:numCache>
                <c:formatCode>General</c:formatCode>
                <c:ptCount val="12"/>
                <c:pt idx="0">
                  <c:v>0</c:v>
                </c:pt>
                <c:pt idx="3">
                  <c:v>0</c:v>
                </c:pt>
                <c:pt idx="6">
                  <c:v>0</c:v>
                </c:pt>
                <c:pt idx="9" formatCode="0">
                  <c:v>0</c:v>
                </c:pt>
              </c:numCache>
            </c:numRef>
          </c:val>
          <c:extLst>
            <c:ext xmlns:c16="http://schemas.microsoft.com/office/drawing/2014/chart" uri="{C3380CC4-5D6E-409C-BE32-E72D297353CC}">
              <c16:uniqueId val="{00000000-AF28-49CE-A211-C6540A5314AA}"/>
            </c:ext>
          </c:extLst>
        </c:ser>
        <c:ser>
          <c:idx val="1"/>
          <c:order val="1"/>
          <c:spPr>
            <a:solidFill>
              <a:schemeClr val="accent2"/>
            </a:solidFill>
            <a:ln>
              <a:noFill/>
            </a:ln>
            <a:effectLst/>
          </c:spPr>
          <c:invertIfNegative val="0"/>
          <c:val>
            <c:numRef>
              <c:f>'PPG (R)'!$C$32:$N$32</c:f>
              <c:numCache>
                <c:formatCode>General</c:formatCode>
                <c:ptCount val="12"/>
              </c:numCache>
            </c:numRef>
          </c:val>
          <c:extLst>
            <c:ext xmlns:c16="http://schemas.microsoft.com/office/drawing/2014/chart" uri="{C3380CC4-5D6E-409C-BE32-E72D297353CC}">
              <c16:uniqueId val="{00000001-AF28-49CE-A211-C6540A5314AA}"/>
            </c:ext>
          </c:extLst>
        </c:ser>
        <c:ser>
          <c:idx val="2"/>
          <c:order val="2"/>
          <c:spPr>
            <a:solidFill>
              <a:schemeClr val="accent3"/>
            </a:solidFill>
            <a:ln>
              <a:noFill/>
            </a:ln>
            <a:effectLst/>
          </c:spPr>
          <c:invertIfNegative val="0"/>
          <c:val>
            <c:numRef>
              <c:f>'PPG (R)'!$C$33:$N$33</c:f>
              <c:numCache>
                <c:formatCode>General</c:formatCode>
                <c:ptCount val="12"/>
                <c:pt idx="0">
                  <c:v>0</c:v>
                </c:pt>
                <c:pt idx="3" formatCode="0.0000">
                  <c:v>31.2</c:v>
                </c:pt>
                <c:pt idx="6" formatCode="0.0000">
                  <c:v>31.193000000000001</c:v>
                </c:pt>
                <c:pt idx="9" formatCode="0.0000">
                  <c:v>31.190999999999999</c:v>
                </c:pt>
              </c:numCache>
            </c:numRef>
          </c:val>
          <c:extLst>
            <c:ext xmlns:c16="http://schemas.microsoft.com/office/drawing/2014/chart" uri="{C3380CC4-5D6E-409C-BE32-E72D297353CC}">
              <c16:uniqueId val="{00000002-AF28-49CE-A211-C6540A5314AA}"/>
            </c:ext>
          </c:extLst>
        </c:ser>
        <c:ser>
          <c:idx val="3"/>
          <c:order val="3"/>
          <c:spPr>
            <a:solidFill>
              <a:schemeClr val="accent4"/>
            </a:solidFill>
            <a:ln>
              <a:noFill/>
            </a:ln>
            <a:effectLst/>
          </c:spPr>
          <c:invertIfNegative val="0"/>
          <c:val>
            <c:numRef>
              <c:f>'PPG (R)'!$C$34:$N$34</c:f>
              <c:numCache>
                <c:formatCode>General</c:formatCode>
                <c:ptCount val="12"/>
                <c:pt idx="0">
                  <c:v>0</c:v>
                </c:pt>
                <c:pt idx="3" formatCode="0.0000">
                  <c:v>30.8</c:v>
                </c:pt>
                <c:pt idx="6" formatCode="0.0000">
                  <c:v>30.800999999999998</c:v>
                </c:pt>
                <c:pt idx="9" formatCode="0.0000">
                  <c:v>30.8</c:v>
                </c:pt>
              </c:numCache>
            </c:numRef>
          </c:val>
          <c:extLst>
            <c:ext xmlns:c16="http://schemas.microsoft.com/office/drawing/2014/chart" uri="{C3380CC4-5D6E-409C-BE32-E72D297353CC}">
              <c16:uniqueId val="{00000003-AF28-49CE-A211-C6540A5314AA}"/>
            </c:ext>
          </c:extLst>
        </c:ser>
        <c:ser>
          <c:idx val="4"/>
          <c:order val="4"/>
          <c:spPr>
            <a:solidFill>
              <a:schemeClr val="accent5"/>
            </a:solidFill>
            <a:ln>
              <a:noFill/>
            </a:ln>
            <a:effectLst/>
          </c:spPr>
          <c:invertIfNegative val="0"/>
          <c:val>
            <c:numRef>
              <c:f>'PPG (R)'!$C$35:$N$35</c:f>
              <c:numCache>
                <c:formatCode>General</c:formatCode>
                <c:ptCount val="12"/>
                <c:pt idx="0">
                  <c:v>0</c:v>
                </c:pt>
              </c:numCache>
            </c:numRef>
          </c:val>
          <c:extLst>
            <c:ext xmlns:c16="http://schemas.microsoft.com/office/drawing/2014/chart" uri="{C3380CC4-5D6E-409C-BE32-E72D297353CC}">
              <c16:uniqueId val="{00000004-AF28-49CE-A211-C6540A5314AA}"/>
            </c:ext>
          </c:extLst>
        </c:ser>
        <c:dLbls>
          <c:showLegendKey val="0"/>
          <c:showVal val="0"/>
          <c:showCatName val="0"/>
          <c:showSerName val="0"/>
          <c:showPercent val="0"/>
          <c:showBubbleSize val="0"/>
        </c:dLbls>
        <c:gapWidth val="219"/>
        <c:overlap val="-27"/>
        <c:axId val="225272223"/>
        <c:axId val="225274719"/>
      </c:barChart>
      <c:catAx>
        <c:axId val="225272223"/>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5274719"/>
        <c:crosses val="autoZero"/>
        <c:auto val="1"/>
        <c:lblAlgn val="ctr"/>
        <c:lblOffset val="100"/>
        <c:noMultiLvlLbl val="0"/>
      </c:catAx>
      <c:valAx>
        <c:axId val="2252747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527222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dLbls>
          <c:showLegendKey val="0"/>
          <c:showVal val="0"/>
          <c:showCatName val="0"/>
          <c:showSerName val="0"/>
          <c:showPercent val="0"/>
          <c:showBubbleSize val="0"/>
        </c:dLbls>
        <c:gapWidth val="219"/>
        <c:overlap val="-27"/>
        <c:axId val="519753456"/>
        <c:axId val="519750128"/>
      </c:barChart>
      <c:catAx>
        <c:axId val="519753456"/>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9750128"/>
        <c:crosses val="autoZero"/>
        <c:auto val="1"/>
        <c:lblAlgn val="ctr"/>
        <c:lblOffset val="100"/>
        <c:noMultiLvlLbl val="0"/>
      </c:catAx>
      <c:valAx>
        <c:axId val="519750128"/>
        <c:scaling>
          <c:orientation val="minMax"/>
        </c:scaling>
        <c:delete val="0"/>
        <c:axPos val="l"/>
        <c:majorGridlines>
          <c:spPr>
            <a:ln w="9525" cap="flat" cmpd="sng" algn="ctr">
              <a:solidFill>
                <a:schemeClr val="tx1">
                  <a:lumMod val="15000"/>
                  <a:lumOff val="85000"/>
                </a:schemeClr>
              </a:solidFill>
              <a:round/>
            </a:ln>
            <a:effectLst/>
          </c:spPr>
        </c:majorGridlines>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975345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dLbls>
          <c:showLegendKey val="0"/>
          <c:showVal val="0"/>
          <c:showCatName val="0"/>
          <c:showSerName val="0"/>
          <c:showPercent val="0"/>
          <c:showBubbleSize val="0"/>
        </c:dLbls>
        <c:gapWidth val="219"/>
        <c:overlap val="-27"/>
        <c:axId val="2035877183"/>
        <c:axId val="2035871775"/>
      </c:barChart>
      <c:catAx>
        <c:axId val="2035877183"/>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5871775"/>
        <c:crosses val="autoZero"/>
        <c:auto val="1"/>
        <c:lblAlgn val="ctr"/>
        <c:lblOffset val="100"/>
        <c:noMultiLvlLbl val="0"/>
      </c:catAx>
      <c:valAx>
        <c:axId val="2035871775"/>
        <c:scaling>
          <c:orientation val="minMax"/>
        </c:scaling>
        <c:delete val="0"/>
        <c:axPos val="l"/>
        <c:majorGridlines>
          <c:spPr>
            <a:ln w="9525" cap="flat" cmpd="sng" algn="ctr">
              <a:solidFill>
                <a:schemeClr val="tx1">
                  <a:lumMod val="15000"/>
                  <a:lumOff val="85000"/>
                </a:schemeClr>
              </a:solidFill>
              <a:round/>
            </a:ln>
            <a:effectLst/>
          </c:spPr>
        </c:majorGridlines>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5877183"/>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val>
            <c:numRef>
              <c:f>'PPG (R)'!$C$30:$N$30</c:f>
              <c:numCache>
                <c:formatCode>General</c:formatCode>
                <c:ptCount val="12"/>
                <c:pt idx="0">
                  <c:v>0</c:v>
                </c:pt>
              </c:numCache>
            </c:numRef>
          </c:val>
          <c:extLst>
            <c:ext xmlns:c16="http://schemas.microsoft.com/office/drawing/2014/chart" uri="{C3380CC4-5D6E-409C-BE32-E72D297353CC}">
              <c16:uniqueId val="{00000000-441F-47B5-B485-1B5260A90E5A}"/>
            </c:ext>
          </c:extLst>
        </c:ser>
        <c:ser>
          <c:idx val="1"/>
          <c:order val="1"/>
          <c:spPr>
            <a:solidFill>
              <a:schemeClr val="accent2"/>
            </a:solidFill>
            <a:ln>
              <a:noFill/>
            </a:ln>
            <a:effectLst/>
          </c:spPr>
          <c:invertIfNegative val="0"/>
          <c:val>
            <c:numRef>
              <c:f>'PPG (R)'!$C$31:$N$31</c:f>
              <c:numCache>
                <c:formatCode>General</c:formatCode>
                <c:ptCount val="12"/>
                <c:pt idx="0">
                  <c:v>0</c:v>
                </c:pt>
                <c:pt idx="3">
                  <c:v>0</c:v>
                </c:pt>
                <c:pt idx="6">
                  <c:v>0</c:v>
                </c:pt>
                <c:pt idx="9" formatCode="0">
                  <c:v>0</c:v>
                </c:pt>
              </c:numCache>
            </c:numRef>
          </c:val>
          <c:extLst>
            <c:ext xmlns:c16="http://schemas.microsoft.com/office/drawing/2014/chart" uri="{C3380CC4-5D6E-409C-BE32-E72D297353CC}">
              <c16:uniqueId val="{00000001-441F-47B5-B485-1B5260A90E5A}"/>
            </c:ext>
          </c:extLst>
        </c:ser>
        <c:ser>
          <c:idx val="2"/>
          <c:order val="2"/>
          <c:spPr>
            <a:solidFill>
              <a:schemeClr val="accent3"/>
            </a:solidFill>
            <a:ln>
              <a:noFill/>
            </a:ln>
            <a:effectLst/>
          </c:spPr>
          <c:invertIfNegative val="0"/>
          <c:val>
            <c:numRef>
              <c:f>'PPG (R)'!$C$32:$N$32</c:f>
              <c:numCache>
                <c:formatCode>General</c:formatCode>
                <c:ptCount val="12"/>
              </c:numCache>
            </c:numRef>
          </c:val>
          <c:extLst>
            <c:ext xmlns:c16="http://schemas.microsoft.com/office/drawing/2014/chart" uri="{C3380CC4-5D6E-409C-BE32-E72D297353CC}">
              <c16:uniqueId val="{00000002-441F-47B5-B485-1B5260A90E5A}"/>
            </c:ext>
          </c:extLst>
        </c:ser>
        <c:ser>
          <c:idx val="3"/>
          <c:order val="3"/>
          <c:spPr>
            <a:solidFill>
              <a:schemeClr val="accent4"/>
            </a:solidFill>
            <a:ln>
              <a:noFill/>
            </a:ln>
            <a:effectLst/>
          </c:spPr>
          <c:invertIfNegative val="0"/>
          <c:val>
            <c:numRef>
              <c:f>'PPG (R)'!$C$33:$N$33</c:f>
              <c:numCache>
                <c:formatCode>General</c:formatCode>
                <c:ptCount val="12"/>
                <c:pt idx="0">
                  <c:v>0</c:v>
                </c:pt>
                <c:pt idx="3" formatCode="0.0000">
                  <c:v>31.2</c:v>
                </c:pt>
                <c:pt idx="6" formatCode="0.0000">
                  <c:v>31.193000000000001</c:v>
                </c:pt>
                <c:pt idx="9" formatCode="0.0000">
                  <c:v>31.190999999999999</c:v>
                </c:pt>
              </c:numCache>
            </c:numRef>
          </c:val>
          <c:extLst>
            <c:ext xmlns:c16="http://schemas.microsoft.com/office/drawing/2014/chart" uri="{C3380CC4-5D6E-409C-BE32-E72D297353CC}">
              <c16:uniqueId val="{00000003-441F-47B5-B485-1B5260A90E5A}"/>
            </c:ext>
          </c:extLst>
        </c:ser>
        <c:ser>
          <c:idx val="4"/>
          <c:order val="4"/>
          <c:spPr>
            <a:solidFill>
              <a:schemeClr val="accent5"/>
            </a:solidFill>
            <a:ln>
              <a:noFill/>
            </a:ln>
            <a:effectLst/>
          </c:spPr>
          <c:invertIfNegative val="0"/>
          <c:val>
            <c:numRef>
              <c:f>'PPG (R)'!$C$34:$N$34</c:f>
              <c:numCache>
                <c:formatCode>General</c:formatCode>
                <c:ptCount val="12"/>
                <c:pt idx="0">
                  <c:v>0</c:v>
                </c:pt>
                <c:pt idx="3" formatCode="0.0000">
                  <c:v>30.8</c:v>
                </c:pt>
                <c:pt idx="6" formatCode="0.0000">
                  <c:v>30.800999999999998</c:v>
                </c:pt>
                <c:pt idx="9" formatCode="0.0000">
                  <c:v>30.8</c:v>
                </c:pt>
              </c:numCache>
            </c:numRef>
          </c:val>
          <c:extLst>
            <c:ext xmlns:c16="http://schemas.microsoft.com/office/drawing/2014/chart" uri="{C3380CC4-5D6E-409C-BE32-E72D297353CC}">
              <c16:uniqueId val="{00000004-441F-47B5-B485-1B5260A90E5A}"/>
            </c:ext>
          </c:extLst>
        </c:ser>
        <c:ser>
          <c:idx val="5"/>
          <c:order val="5"/>
          <c:spPr>
            <a:solidFill>
              <a:schemeClr val="accent6"/>
            </a:solidFill>
            <a:ln>
              <a:noFill/>
            </a:ln>
            <a:effectLst/>
          </c:spPr>
          <c:invertIfNegative val="0"/>
          <c:val>
            <c:numRef>
              <c:f>'PPG (R)'!$C$35:$N$35</c:f>
              <c:numCache>
                <c:formatCode>General</c:formatCode>
                <c:ptCount val="12"/>
                <c:pt idx="0">
                  <c:v>0</c:v>
                </c:pt>
              </c:numCache>
            </c:numRef>
          </c:val>
          <c:extLst>
            <c:ext xmlns:c16="http://schemas.microsoft.com/office/drawing/2014/chart" uri="{C3380CC4-5D6E-409C-BE32-E72D297353CC}">
              <c16:uniqueId val="{00000005-441F-47B5-B485-1B5260A90E5A}"/>
            </c:ext>
          </c:extLst>
        </c:ser>
        <c:ser>
          <c:idx val="6"/>
          <c:order val="6"/>
          <c:spPr>
            <a:solidFill>
              <a:schemeClr val="accent1">
                <a:lumMod val="60000"/>
              </a:schemeClr>
            </a:solidFill>
            <a:ln>
              <a:noFill/>
            </a:ln>
            <a:effectLst/>
          </c:spPr>
          <c:invertIfNegative val="0"/>
          <c:val>
            <c:numRef>
              <c:f>'PPG (R)'!$C$36:$N$36</c:f>
              <c:numCache>
                <c:formatCode>General</c:formatCode>
                <c:ptCount val="12"/>
              </c:numCache>
            </c:numRef>
          </c:val>
          <c:extLst>
            <c:ext xmlns:c16="http://schemas.microsoft.com/office/drawing/2014/chart" uri="{C3380CC4-5D6E-409C-BE32-E72D297353CC}">
              <c16:uniqueId val="{00000006-441F-47B5-B485-1B5260A90E5A}"/>
            </c:ext>
          </c:extLst>
        </c:ser>
        <c:dLbls>
          <c:showLegendKey val="0"/>
          <c:showVal val="0"/>
          <c:showCatName val="0"/>
          <c:showSerName val="0"/>
          <c:showPercent val="0"/>
          <c:showBubbleSize val="0"/>
        </c:dLbls>
        <c:gapWidth val="219"/>
        <c:overlap val="-27"/>
        <c:axId val="1472897199"/>
        <c:axId val="1472898031"/>
      </c:barChart>
      <c:catAx>
        <c:axId val="1472897199"/>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2898031"/>
        <c:crosses val="autoZero"/>
        <c:auto val="1"/>
        <c:lblAlgn val="ctr"/>
        <c:lblOffset val="100"/>
        <c:noMultiLvlLbl val="0"/>
      </c:catAx>
      <c:valAx>
        <c:axId val="14728980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289719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val>
            <c:numRef>
              <c:f>'PPG (R)'!$C$30:$N$30</c:f>
              <c:numCache>
                <c:formatCode>General</c:formatCode>
                <c:ptCount val="12"/>
                <c:pt idx="0">
                  <c:v>0</c:v>
                </c:pt>
              </c:numCache>
            </c:numRef>
          </c:val>
          <c:extLst>
            <c:ext xmlns:c16="http://schemas.microsoft.com/office/drawing/2014/chart" uri="{C3380CC4-5D6E-409C-BE32-E72D297353CC}">
              <c16:uniqueId val="{00000000-776F-4FFC-A747-F47DACC6B047}"/>
            </c:ext>
          </c:extLst>
        </c:ser>
        <c:ser>
          <c:idx val="1"/>
          <c:order val="1"/>
          <c:spPr>
            <a:solidFill>
              <a:schemeClr val="accent2"/>
            </a:solidFill>
            <a:ln>
              <a:noFill/>
            </a:ln>
            <a:effectLst/>
          </c:spPr>
          <c:invertIfNegative val="0"/>
          <c:val>
            <c:numRef>
              <c:f>'PPG (R)'!$C$31:$N$31</c:f>
              <c:numCache>
                <c:formatCode>General</c:formatCode>
                <c:ptCount val="12"/>
                <c:pt idx="0">
                  <c:v>0</c:v>
                </c:pt>
                <c:pt idx="3">
                  <c:v>0</c:v>
                </c:pt>
                <c:pt idx="6">
                  <c:v>0</c:v>
                </c:pt>
                <c:pt idx="9" formatCode="0">
                  <c:v>0</c:v>
                </c:pt>
              </c:numCache>
            </c:numRef>
          </c:val>
          <c:extLst>
            <c:ext xmlns:c16="http://schemas.microsoft.com/office/drawing/2014/chart" uri="{C3380CC4-5D6E-409C-BE32-E72D297353CC}">
              <c16:uniqueId val="{00000001-776F-4FFC-A747-F47DACC6B047}"/>
            </c:ext>
          </c:extLst>
        </c:ser>
        <c:ser>
          <c:idx val="2"/>
          <c:order val="2"/>
          <c:spPr>
            <a:solidFill>
              <a:schemeClr val="accent3"/>
            </a:solidFill>
            <a:ln>
              <a:noFill/>
            </a:ln>
            <a:effectLst/>
          </c:spPr>
          <c:invertIfNegative val="0"/>
          <c:val>
            <c:numRef>
              <c:f>'PPG (R)'!$C$32:$N$32</c:f>
              <c:numCache>
                <c:formatCode>General</c:formatCode>
                <c:ptCount val="12"/>
              </c:numCache>
            </c:numRef>
          </c:val>
          <c:extLst>
            <c:ext xmlns:c16="http://schemas.microsoft.com/office/drawing/2014/chart" uri="{C3380CC4-5D6E-409C-BE32-E72D297353CC}">
              <c16:uniqueId val="{00000002-776F-4FFC-A747-F47DACC6B047}"/>
            </c:ext>
          </c:extLst>
        </c:ser>
        <c:ser>
          <c:idx val="3"/>
          <c:order val="3"/>
          <c:spPr>
            <a:solidFill>
              <a:schemeClr val="accent4"/>
            </a:solidFill>
            <a:ln>
              <a:noFill/>
            </a:ln>
            <a:effectLst/>
          </c:spPr>
          <c:invertIfNegative val="0"/>
          <c:val>
            <c:numRef>
              <c:f>'PPG (R)'!$C$33:$N$33</c:f>
              <c:numCache>
                <c:formatCode>General</c:formatCode>
                <c:ptCount val="12"/>
                <c:pt idx="0">
                  <c:v>0</c:v>
                </c:pt>
                <c:pt idx="3" formatCode="0.0000">
                  <c:v>31.2</c:v>
                </c:pt>
                <c:pt idx="6" formatCode="0.0000">
                  <c:v>31.193000000000001</c:v>
                </c:pt>
                <c:pt idx="9" formatCode="0.0000">
                  <c:v>31.190999999999999</c:v>
                </c:pt>
              </c:numCache>
            </c:numRef>
          </c:val>
          <c:extLst>
            <c:ext xmlns:c16="http://schemas.microsoft.com/office/drawing/2014/chart" uri="{C3380CC4-5D6E-409C-BE32-E72D297353CC}">
              <c16:uniqueId val="{00000003-776F-4FFC-A747-F47DACC6B047}"/>
            </c:ext>
          </c:extLst>
        </c:ser>
        <c:ser>
          <c:idx val="4"/>
          <c:order val="4"/>
          <c:spPr>
            <a:solidFill>
              <a:schemeClr val="accent5"/>
            </a:solidFill>
            <a:ln>
              <a:noFill/>
            </a:ln>
            <a:effectLst/>
          </c:spPr>
          <c:invertIfNegative val="0"/>
          <c:val>
            <c:numRef>
              <c:f>'PPG (R)'!$C$34:$N$34</c:f>
              <c:numCache>
                <c:formatCode>General</c:formatCode>
                <c:ptCount val="12"/>
                <c:pt idx="0">
                  <c:v>0</c:v>
                </c:pt>
                <c:pt idx="3" formatCode="0.0000">
                  <c:v>30.8</c:v>
                </c:pt>
                <c:pt idx="6" formatCode="0.0000">
                  <c:v>30.800999999999998</c:v>
                </c:pt>
                <c:pt idx="9" formatCode="0.0000">
                  <c:v>30.8</c:v>
                </c:pt>
              </c:numCache>
            </c:numRef>
          </c:val>
          <c:extLst>
            <c:ext xmlns:c16="http://schemas.microsoft.com/office/drawing/2014/chart" uri="{C3380CC4-5D6E-409C-BE32-E72D297353CC}">
              <c16:uniqueId val="{00000004-776F-4FFC-A747-F47DACC6B047}"/>
            </c:ext>
          </c:extLst>
        </c:ser>
        <c:ser>
          <c:idx val="5"/>
          <c:order val="5"/>
          <c:spPr>
            <a:solidFill>
              <a:schemeClr val="accent6"/>
            </a:solidFill>
            <a:ln>
              <a:noFill/>
            </a:ln>
            <a:effectLst/>
          </c:spPr>
          <c:invertIfNegative val="0"/>
          <c:val>
            <c:numRef>
              <c:f>'PPG (R)'!$C$35:$N$35</c:f>
              <c:numCache>
                <c:formatCode>General</c:formatCode>
                <c:ptCount val="12"/>
                <c:pt idx="0">
                  <c:v>0</c:v>
                </c:pt>
              </c:numCache>
            </c:numRef>
          </c:val>
          <c:extLst>
            <c:ext xmlns:c16="http://schemas.microsoft.com/office/drawing/2014/chart" uri="{C3380CC4-5D6E-409C-BE32-E72D297353CC}">
              <c16:uniqueId val="{00000005-776F-4FFC-A747-F47DACC6B047}"/>
            </c:ext>
          </c:extLst>
        </c:ser>
        <c:ser>
          <c:idx val="6"/>
          <c:order val="6"/>
          <c:spPr>
            <a:solidFill>
              <a:schemeClr val="accent1">
                <a:lumMod val="60000"/>
              </a:schemeClr>
            </a:solidFill>
            <a:ln>
              <a:noFill/>
            </a:ln>
            <a:effectLst/>
          </c:spPr>
          <c:invertIfNegative val="0"/>
          <c:val>
            <c:numRef>
              <c:f>'PPG (R)'!$C$36:$N$36</c:f>
              <c:numCache>
                <c:formatCode>General</c:formatCode>
                <c:ptCount val="12"/>
              </c:numCache>
            </c:numRef>
          </c:val>
          <c:extLst>
            <c:ext xmlns:c16="http://schemas.microsoft.com/office/drawing/2014/chart" uri="{C3380CC4-5D6E-409C-BE32-E72D297353CC}">
              <c16:uniqueId val="{00000006-776F-4FFC-A747-F47DACC6B047}"/>
            </c:ext>
          </c:extLst>
        </c:ser>
        <c:dLbls>
          <c:showLegendKey val="0"/>
          <c:showVal val="0"/>
          <c:showCatName val="0"/>
          <c:showSerName val="0"/>
          <c:showPercent val="0"/>
          <c:showBubbleSize val="0"/>
        </c:dLbls>
        <c:gapWidth val="219"/>
        <c:overlap val="-27"/>
        <c:axId val="1359461903"/>
        <c:axId val="1359462319"/>
      </c:barChart>
      <c:catAx>
        <c:axId val="1359461903"/>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9462319"/>
        <c:crosses val="autoZero"/>
        <c:auto val="1"/>
        <c:lblAlgn val="ctr"/>
        <c:lblOffset val="100"/>
        <c:noMultiLvlLbl val="0"/>
      </c:catAx>
      <c:valAx>
        <c:axId val="13594623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946190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heets/_rels/sheet1.xml.rels><?xml version="1.0" encoding="UTF-8" standalone="yes"?>
<Relationships xmlns="http://schemas.openxmlformats.org/package/2006/relationships"><Relationship Id="rId1" Type="http://schemas.openxmlformats.org/officeDocument/2006/relationships/drawing" Target="../drawings/drawing2.xml"/></Relationships>
</file>

<file path=xl/chartsheets/_rels/sheet2.xml.rels><?xml version="1.0" encoding="UTF-8" standalone="yes"?>
<Relationships xmlns="http://schemas.openxmlformats.org/package/2006/relationships"><Relationship Id="rId1" Type="http://schemas.openxmlformats.org/officeDocument/2006/relationships/drawing" Target="../drawings/drawing3.xml"/></Relationships>
</file>

<file path=xl/chartsheets/_rels/sheet3.xml.rels><?xml version="1.0" encoding="UTF-8" standalone="yes"?>
<Relationships xmlns="http://schemas.openxmlformats.org/package/2006/relationships"><Relationship Id="rId1" Type="http://schemas.openxmlformats.org/officeDocument/2006/relationships/drawing" Target="../drawings/drawing4.xml"/></Relationships>
</file>

<file path=xl/chartsheets/_rels/sheet4.xml.rels><?xml version="1.0" encoding="UTF-8" standalone="yes"?>
<Relationships xmlns="http://schemas.openxmlformats.org/package/2006/relationships"><Relationship Id="rId1" Type="http://schemas.openxmlformats.org/officeDocument/2006/relationships/drawing" Target="../drawings/drawing5.xml"/></Relationships>
</file>

<file path=xl/chartsheets/_rels/sheet5.xml.rels><?xml version="1.0" encoding="UTF-8" standalone="yes"?>
<Relationships xmlns="http://schemas.openxmlformats.org/package/2006/relationships"><Relationship Id="rId1" Type="http://schemas.openxmlformats.org/officeDocument/2006/relationships/drawing" Target="../drawings/drawing6.xml"/></Relationships>
</file>

<file path=xl/chartsheets/sheet1.xml><?xml version="1.0" encoding="utf-8"?>
<chartsheet xmlns="http://schemas.openxmlformats.org/spreadsheetml/2006/main" xmlns:r="http://schemas.openxmlformats.org/officeDocument/2006/relationships">
  <sheetPr/>
  <sheetViews>
    <sheetView zoomScale="123" workbookViewId="0" zoomToFit="1"/>
  </sheetViews>
  <pageMargins left="0.7" right="0.7" top="0.75" bottom="0.75" header="0.3" footer="0.3"/>
  <drawing r:id="rId1"/>
</chartsheet>
</file>

<file path=xl/chartsheets/sheet2.xml><?xml version="1.0" encoding="utf-8"?>
<chartsheet xmlns="http://schemas.openxmlformats.org/spreadsheetml/2006/main" xmlns:r="http://schemas.openxmlformats.org/officeDocument/2006/relationships">
  <sheetPr/>
  <sheetViews>
    <sheetView zoomScale="118" workbookViewId="0" zoomToFit="1"/>
  </sheetViews>
  <pageMargins left="0.7" right="0.7" top="0.75" bottom="0.75" header="0.3" footer="0.3"/>
  <drawing r:id="rId1"/>
</chartsheet>
</file>

<file path=xl/chartsheets/sheet3.xml><?xml version="1.0" encoding="utf-8"?>
<chartsheet xmlns="http://schemas.openxmlformats.org/spreadsheetml/2006/main" xmlns:r="http://schemas.openxmlformats.org/officeDocument/2006/relationships">
  <sheetPr/>
  <sheetViews>
    <sheetView zoomScale="118" workbookViewId="0" zoomToFit="1"/>
  </sheetViews>
  <pageMargins left="0.7" right="0.7" top="0.75" bottom="0.75" header="0.3" footer="0.3"/>
  <drawing r:id="rId1"/>
</chartsheet>
</file>

<file path=xl/chartsheets/sheet4.xml><?xml version="1.0" encoding="utf-8"?>
<chartsheet xmlns="http://schemas.openxmlformats.org/spreadsheetml/2006/main" xmlns:r="http://schemas.openxmlformats.org/officeDocument/2006/relationships">
  <sheetPr/>
  <sheetViews>
    <sheetView zoomScale="115" workbookViewId="0" zoomToFit="1"/>
  </sheetViews>
  <pageMargins left="0.7" right="0.7" top="0.75" bottom="0.75" header="0.3" footer="0.3"/>
  <drawing r:id="rId1"/>
</chartsheet>
</file>

<file path=xl/chartsheets/sheet5.xml><?xml version="1.0" encoding="utf-8"?>
<chartsheet xmlns="http://schemas.openxmlformats.org/spreadsheetml/2006/main" xmlns:r="http://schemas.openxmlformats.org/officeDocument/2006/relationships">
  <sheetPr/>
  <sheetViews>
    <sheetView zoomScale="115" workbookViewId="0" zoomToFit="1"/>
  </sheetViews>
  <pageMargins left="0.7" right="0.7" top="0.75" bottom="0.75" header="0.3" footer="0.3"/>
  <drawing r:id="rId1"/>
</chartsheet>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_rels/drawing5.xml.rels><?xml version="1.0" encoding="UTF-8" standalone="yes"?>
<Relationships xmlns="http://schemas.openxmlformats.org/package/2006/relationships"><Relationship Id="rId1" Type="http://schemas.openxmlformats.org/officeDocument/2006/relationships/chart" Target="../charts/chart4.xml"/></Relationships>
</file>

<file path=xl/drawings/_rels/drawing6.xml.rels><?xml version="1.0" encoding="UTF-8" standalone="yes"?>
<Relationships xmlns="http://schemas.openxmlformats.org/package/2006/relationships"><Relationship Id="rId1" Type="http://schemas.openxmlformats.org/officeDocument/2006/relationships/chart" Target="../charts/chart5.xml"/></Relationships>
</file>

<file path=xl/drawings/_rels/drawing7.xml.rels><?xml version="1.0" encoding="UTF-8" standalone="yes"?>
<Relationships xmlns="http://schemas.openxmlformats.org/package/2006/relationships"><Relationship Id="rId1" Type="http://schemas.openxmlformats.org/officeDocument/2006/relationships/image" Target="../media/image3.jpeg"/></Relationships>
</file>

<file path=xl/drawings/drawing1.xml><?xml version="1.0" encoding="utf-8"?>
<xdr:wsDr xmlns:xdr="http://schemas.openxmlformats.org/drawingml/2006/spreadsheetDrawing" xmlns:a="http://schemas.openxmlformats.org/drawingml/2006/main">
  <xdr:twoCellAnchor>
    <xdr:from>
      <xdr:col>13</xdr:col>
      <xdr:colOff>38100</xdr:colOff>
      <xdr:row>1</xdr:row>
      <xdr:rowOff>104775</xdr:rowOff>
    </xdr:from>
    <xdr:to>
      <xdr:col>15</xdr:col>
      <xdr:colOff>323850</xdr:colOff>
      <xdr:row>1</xdr:row>
      <xdr:rowOff>228600</xdr:rowOff>
    </xdr:to>
    <xdr:pic>
      <xdr:nvPicPr>
        <xdr:cNvPr id="38361" name="Picture 1">
          <a:extLst>
            <a:ext uri="{FF2B5EF4-FFF2-40B4-BE49-F238E27FC236}">
              <a16:creationId xmlns:a16="http://schemas.microsoft.com/office/drawing/2014/main" id="{00000000-0008-0000-0000-0000D995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134225" y="361950"/>
          <a:ext cx="1162050" cy="1238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0</xdr:col>
      <xdr:colOff>295275</xdr:colOff>
      <xdr:row>0</xdr:row>
      <xdr:rowOff>19050</xdr:rowOff>
    </xdr:from>
    <xdr:to>
      <xdr:col>2</xdr:col>
      <xdr:colOff>152400</xdr:colOff>
      <xdr:row>3</xdr:row>
      <xdr:rowOff>28575</xdr:rowOff>
    </xdr:to>
    <xdr:pic>
      <xdr:nvPicPr>
        <xdr:cNvPr id="38362" name="Picture 4">
          <a:extLst>
            <a:ext uri="{FF2B5EF4-FFF2-40B4-BE49-F238E27FC236}">
              <a16:creationId xmlns:a16="http://schemas.microsoft.com/office/drawing/2014/main" id="{00000000-0008-0000-0000-0000DA95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l="12029" t="3123" r="15038" b="11717"/>
        <a:stretch>
          <a:fillRect/>
        </a:stretch>
      </xdr:blipFill>
      <xdr:spPr bwMode="auto">
        <a:xfrm>
          <a:off x="295275" y="19050"/>
          <a:ext cx="733425" cy="781050"/>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l="12029" t="3123" r="15038" b="11717"/>
                <a:stretch>
                  <a:fillRect/>
                </a:stretch>
              </a:blipFill>
            </a14:hiddenFill>
          </a:ext>
          <a:ext uri="{91240B29-F687-4F45-9708-019B960494DF}">
            <a14:hiddenLine xmlns:a14="http://schemas.microsoft.com/office/drawing/2010/main" w="9525">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wsDr>
</file>

<file path=xl/drawings/drawing2.xml><?xml version="1.0" encoding="utf-8"?>
<xdr:wsDr xmlns:xdr="http://schemas.openxmlformats.org/drawingml/2006/spreadsheetDrawing" xmlns:a="http://schemas.openxmlformats.org/drawingml/2006/main">
  <xdr:absoluteAnchor>
    <xdr:pos x="0" y="0"/>
    <xdr:ext cx="9308171" cy="6078963"/>
    <xdr:graphicFrame macro="">
      <xdr:nvGraphicFramePr>
        <xdr:cNvPr id="2" name="Chart 1">
          <a:extLst>
            <a:ext uri="{FF2B5EF4-FFF2-40B4-BE49-F238E27FC236}">
              <a16:creationId xmlns:a16="http://schemas.microsoft.com/office/drawing/2014/main" id="{00000000-0008-0000-01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3.xml><?xml version="1.0" encoding="utf-8"?>
<xdr:wsDr xmlns:xdr="http://schemas.openxmlformats.org/drawingml/2006/spreadsheetDrawing" xmlns:a="http://schemas.openxmlformats.org/drawingml/2006/main">
  <xdr:absoluteAnchor>
    <xdr:pos x="0" y="0"/>
    <xdr:ext cx="8669364" cy="6288114"/>
    <xdr:graphicFrame macro="">
      <xdr:nvGraphicFramePr>
        <xdr:cNvPr id="2" name="Chart 1">
          <a:extLst>
            <a:ext uri="{FF2B5EF4-FFF2-40B4-BE49-F238E27FC236}">
              <a16:creationId xmlns:a16="http://schemas.microsoft.com/office/drawing/2014/main" id="{00000000-0008-0000-02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4.xml><?xml version="1.0" encoding="utf-8"?>
<xdr:wsDr xmlns:xdr="http://schemas.openxmlformats.org/drawingml/2006/spreadsheetDrawing" xmlns:a="http://schemas.openxmlformats.org/drawingml/2006/main">
  <xdr:absoluteAnchor>
    <xdr:pos x="0" y="0"/>
    <xdr:ext cx="8669364" cy="6288114"/>
    <xdr:graphicFrame macro="">
      <xdr:nvGraphicFramePr>
        <xdr:cNvPr id="2" name="Chart 1">
          <a:extLst>
            <a:ext uri="{FF2B5EF4-FFF2-40B4-BE49-F238E27FC236}">
              <a16:creationId xmlns:a16="http://schemas.microsoft.com/office/drawing/2014/main" id="{00000000-0008-0000-03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5.xml><?xml version="1.0" encoding="utf-8"?>
<xdr:wsDr xmlns:xdr="http://schemas.openxmlformats.org/drawingml/2006/spreadsheetDrawing" xmlns:a="http://schemas.openxmlformats.org/drawingml/2006/main">
  <xdr:absoluteAnchor>
    <xdr:pos x="0" y="0"/>
    <xdr:ext cx="8663609" cy="6278217"/>
    <xdr:graphicFrame macro="">
      <xdr:nvGraphicFramePr>
        <xdr:cNvPr id="2" name="Chart 1">
          <a:extLst>
            <a:ext uri="{FF2B5EF4-FFF2-40B4-BE49-F238E27FC236}">
              <a16:creationId xmlns:a16="http://schemas.microsoft.com/office/drawing/2014/main" id="{00000000-0008-0000-04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6.xml><?xml version="1.0" encoding="utf-8"?>
<xdr:wsDr xmlns:xdr="http://schemas.openxmlformats.org/drawingml/2006/spreadsheetDrawing" xmlns:a="http://schemas.openxmlformats.org/drawingml/2006/main">
  <xdr:absoluteAnchor>
    <xdr:pos x="0" y="0"/>
    <xdr:ext cx="8663609" cy="6278217"/>
    <xdr:graphicFrame macro="">
      <xdr:nvGraphicFramePr>
        <xdr:cNvPr id="2" name="Chart 1">
          <a:extLst>
            <a:ext uri="{FF2B5EF4-FFF2-40B4-BE49-F238E27FC236}">
              <a16:creationId xmlns:a16="http://schemas.microsoft.com/office/drawing/2014/main" id="{00000000-0008-0000-05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7.xml><?xml version="1.0" encoding="utf-8"?>
<xdr:wsDr xmlns:xdr="http://schemas.openxmlformats.org/drawingml/2006/spreadsheetDrawing" xmlns:a="http://schemas.openxmlformats.org/drawingml/2006/main">
  <xdr:twoCellAnchor>
    <xdr:from>
      <xdr:col>13</xdr:col>
      <xdr:colOff>38100</xdr:colOff>
      <xdr:row>1</xdr:row>
      <xdr:rowOff>0</xdr:rowOff>
    </xdr:from>
    <xdr:to>
      <xdr:col>15</xdr:col>
      <xdr:colOff>409575</xdr:colOff>
      <xdr:row>2</xdr:row>
      <xdr:rowOff>0</xdr:rowOff>
    </xdr:to>
    <xdr:pic>
      <xdr:nvPicPr>
        <xdr:cNvPr id="39325" name="Picture 1">
          <a:extLst>
            <a:ext uri="{FF2B5EF4-FFF2-40B4-BE49-F238E27FC236}">
              <a16:creationId xmlns:a16="http://schemas.microsoft.com/office/drawing/2014/main" id="{00000000-0008-0000-0200-00009D99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943600" y="257175"/>
          <a:ext cx="1228725" cy="25717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56"/>
  <sheetViews>
    <sheetView showGridLines="0" topLeftCell="A7" workbookViewId="0">
      <selection activeCell="A8" sqref="A8"/>
    </sheetView>
  </sheetViews>
  <sheetFormatPr defaultRowHeight="12.75"/>
  <cols>
    <col min="1" max="2" width="6.5703125" customWidth="1"/>
    <col min="3" max="3" width="16.28515625" customWidth="1"/>
    <col min="4" max="5" width="9" customWidth="1"/>
    <col min="6" max="10" width="7.85546875" customWidth="1"/>
    <col min="11" max="16" width="6.5703125" customWidth="1"/>
    <col min="17" max="17" width="6" customWidth="1"/>
    <col min="18" max="18" width="8.85546875" customWidth="1"/>
    <col min="20" max="20" width="1.140625" customWidth="1"/>
  </cols>
  <sheetData>
    <row r="1" spans="1:16" ht="20.25" customHeight="1">
      <c r="A1" s="1"/>
      <c r="B1" s="2"/>
      <c r="C1" s="3"/>
      <c r="D1" s="100" t="s">
        <v>0</v>
      </c>
      <c r="E1" s="100"/>
      <c r="F1" s="100"/>
      <c r="G1" s="100"/>
      <c r="H1" s="100"/>
      <c r="I1" s="100"/>
      <c r="J1" s="100"/>
      <c r="K1" s="100"/>
      <c r="L1" s="100"/>
      <c r="M1" s="100"/>
      <c r="N1" s="4"/>
      <c r="O1" s="2"/>
      <c r="P1" s="5"/>
    </row>
    <row r="2" spans="1:16" ht="20.25" customHeight="1">
      <c r="A2" s="6"/>
      <c r="C2" s="7"/>
      <c r="D2" s="100"/>
      <c r="E2" s="100"/>
      <c r="F2" s="100"/>
      <c r="G2" s="100"/>
      <c r="H2" s="100"/>
      <c r="I2" s="100"/>
      <c r="J2" s="100"/>
      <c r="K2" s="100"/>
      <c r="L2" s="100"/>
      <c r="M2" s="100"/>
      <c r="N2" s="8"/>
      <c r="P2" s="9"/>
    </row>
    <row r="3" spans="1:16" ht="20.25" customHeight="1">
      <c r="A3" s="6"/>
      <c r="C3" s="7"/>
      <c r="D3" s="100"/>
      <c r="E3" s="100"/>
      <c r="F3" s="100"/>
      <c r="G3" s="100"/>
      <c r="H3" s="100"/>
      <c r="I3" s="100"/>
      <c r="J3" s="100"/>
      <c r="K3" s="100"/>
      <c r="L3" s="100"/>
      <c r="M3" s="100"/>
      <c r="N3" s="101" t="s">
        <v>1</v>
      </c>
      <c r="O3" s="101"/>
      <c r="P3" s="101"/>
    </row>
    <row r="4" spans="1:16" ht="10.5" customHeight="1">
      <c r="A4" s="102" t="s">
        <v>2</v>
      </c>
      <c r="B4" s="102"/>
      <c r="C4" s="102"/>
      <c r="D4" s="100"/>
      <c r="E4" s="100"/>
      <c r="F4" s="100"/>
      <c r="G4" s="100"/>
      <c r="H4" s="100"/>
      <c r="I4" s="100"/>
      <c r="J4" s="100"/>
      <c r="K4" s="100"/>
      <c r="L4" s="100"/>
      <c r="M4" s="100"/>
      <c r="N4" s="8"/>
      <c r="P4" s="9"/>
    </row>
    <row r="5" spans="1:16" ht="10.5" customHeight="1">
      <c r="A5" s="103" t="s">
        <v>3</v>
      </c>
      <c r="B5" s="103"/>
      <c r="C5" s="103"/>
      <c r="D5" s="100"/>
      <c r="E5" s="100"/>
      <c r="F5" s="100"/>
      <c r="G5" s="100"/>
      <c r="H5" s="100"/>
      <c r="I5" s="100"/>
      <c r="J5" s="100"/>
      <c r="K5" s="100"/>
      <c r="L5" s="100"/>
      <c r="M5" s="100"/>
      <c r="N5" s="10"/>
      <c r="O5" s="11"/>
      <c r="P5" s="12"/>
    </row>
    <row r="6" spans="1:16" ht="12.75" customHeight="1">
      <c r="A6" s="6"/>
      <c r="B6" s="13" t="s">
        <v>4</v>
      </c>
      <c r="E6" s="14"/>
      <c r="F6" s="14"/>
      <c r="G6" s="14"/>
      <c r="H6" s="15"/>
      <c r="I6" s="16" t="s">
        <v>5</v>
      </c>
      <c r="J6" s="17"/>
      <c r="K6" s="17"/>
      <c r="L6" s="18"/>
      <c r="M6" s="92" t="s">
        <v>6</v>
      </c>
      <c r="N6" s="92"/>
      <c r="O6" s="92"/>
      <c r="P6" s="92"/>
    </row>
    <row r="7" spans="1:16">
      <c r="A7" s="19">
        <v>80</v>
      </c>
      <c r="B7" s="20" t="str">
        <f>IF(A7=2,"SANSERA ENGINEERING PVT. LTD PLANT II",IF(A7=3,"SANSERA ENGINEERING PVT. LTD. PLANT III",IF(A7=1,"SANSERA ENGINEERING PVT. LTD. PLANT1A",IF(A7=5,"GEAROCK FORGE PVT LTD.",IF(A7=7,"SANSERA ENGINEERING PVT. LTD. PLANT VII "," ")))))</f>
        <v xml:space="preserve"> </v>
      </c>
      <c r="H7" s="7"/>
      <c r="I7" s="16" t="s">
        <v>7</v>
      </c>
      <c r="J7" s="17"/>
      <c r="K7" s="17"/>
      <c r="L7" s="18"/>
      <c r="M7" s="92" t="s">
        <v>8</v>
      </c>
      <c r="N7" s="92"/>
      <c r="O7" s="92"/>
      <c r="P7" s="92"/>
    </row>
    <row r="8" spans="1:16">
      <c r="A8" s="6"/>
      <c r="B8" s="20" t="b">
        <f>IF(A7=2,"261/C, BOMMASANDRA INDUSTRIAL AREA",IF(A7=3,"BOMMASANDRA-JIGANI LINK ROAD",IF(A7=1,"NO 8 A.M.INDL ESTATE",IF(A7=5,"NO:143,B-8,BOMMASANDRA INDL AREA",IF(A7=7,"FAC : 143A JIGANI LINK ROAD  ")))))</f>
        <v>0</v>
      </c>
      <c r="H8" s="7"/>
      <c r="I8" s="16" t="s">
        <v>9</v>
      </c>
      <c r="J8" s="17"/>
      <c r="K8" s="17"/>
      <c r="L8" s="18"/>
      <c r="M8" s="16" t="s">
        <v>10</v>
      </c>
      <c r="N8" s="21">
        <v>2.85</v>
      </c>
      <c r="O8" s="22" t="s">
        <v>11</v>
      </c>
      <c r="P8" s="23">
        <v>3.15</v>
      </c>
    </row>
    <row r="9" spans="1:16">
      <c r="A9" s="6"/>
      <c r="B9" s="20" t="b">
        <f>IF(A7=2,"BANGALORE-560099",IF(A7=3,"INDL AREA,BANGALORE-560099",IF(A7=1,"G.B.PALYA,HOSUR ROAD,BANGALORE-68",IF(A7=5,"ANEKAL TALUK",IF(A7=7,"BANGALORE-560099")))))</f>
        <v>0</v>
      </c>
      <c r="H9" s="7"/>
      <c r="I9" s="16" t="s">
        <v>12</v>
      </c>
      <c r="J9" s="17"/>
      <c r="K9" s="17"/>
      <c r="L9" s="18"/>
      <c r="M9" s="92" t="s">
        <v>13</v>
      </c>
      <c r="N9" s="92"/>
      <c r="O9" s="92"/>
      <c r="P9" s="92"/>
    </row>
    <row r="10" spans="1:16">
      <c r="A10" s="6"/>
      <c r="B10" s="20" t="str">
        <f>IF(A7=2,"Ph:080-27833056,7833442 FAX:7833642",IF(A7=3,"Tel:08110-7833604/5/6/7",IF(A7=1,"Ph:25731088,25731088,25731227, Fax:25731092",IF(A7=5,"BANGALORE-562158"," "))))</f>
        <v xml:space="preserve"> </v>
      </c>
      <c r="H10" s="7"/>
      <c r="I10" s="16" t="s">
        <v>14</v>
      </c>
      <c r="J10" s="17"/>
      <c r="K10" s="17"/>
      <c r="L10" s="18"/>
      <c r="M10" s="92">
        <v>10006422</v>
      </c>
      <c r="N10" s="92"/>
      <c r="O10" s="92"/>
      <c r="P10" s="92"/>
    </row>
    <row r="11" spans="1:16">
      <c r="A11" s="6"/>
      <c r="H11" s="7"/>
      <c r="I11" s="16" t="s">
        <v>15</v>
      </c>
      <c r="J11" s="17"/>
      <c r="K11" s="17"/>
      <c r="L11" s="18"/>
      <c r="M11" s="92" t="s">
        <v>16</v>
      </c>
      <c r="N11" s="92"/>
      <c r="O11" s="92"/>
      <c r="P11" s="92"/>
    </row>
    <row r="12" spans="1:16">
      <c r="A12" s="24"/>
      <c r="B12" s="11"/>
      <c r="C12" s="11"/>
      <c r="D12" s="11"/>
      <c r="E12" s="11"/>
      <c r="F12" s="11"/>
      <c r="G12" s="11"/>
      <c r="H12" s="25"/>
      <c r="I12" s="16" t="s">
        <v>17</v>
      </c>
      <c r="J12" s="17"/>
      <c r="K12" s="17"/>
      <c r="L12" s="18"/>
      <c r="M12" s="92" t="s">
        <v>18</v>
      </c>
      <c r="N12" s="92"/>
      <c r="O12" s="92"/>
      <c r="P12" s="92"/>
    </row>
    <row r="13" spans="1:16" ht="12.75" customHeight="1">
      <c r="A13" s="98" t="s">
        <v>19</v>
      </c>
      <c r="B13" s="98"/>
      <c r="C13" s="98"/>
      <c r="D13" s="98"/>
      <c r="E13" s="98"/>
      <c r="F13" s="98"/>
      <c r="G13" s="98"/>
      <c r="H13" s="98"/>
      <c r="I13" s="99" t="s">
        <v>20</v>
      </c>
      <c r="J13" s="99"/>
      <c r="K13" s="99"/>
      <c r="L13" s="99"/>
      <c r="M13" s="99"/>
      <c r="N13" s="99"/>
      <c r="O13" s="99"/>
      <c r="P13" s="99"/>
    </row>
    <row r="14" spans="1:16" s="31" customFormat="1">
      <c r="A14" s="26" t="s">
        <v>21</v>
      </c>
      <c r="B14" s="27"/>
      <c r="C14" s="27"/>
      <c r="D14" s="27"/>
      <c r="E14" s="27"/>
      <c r="F14" s="27"/>
      <c r="G14" s="27"/>
      <c r="H14" s="28"/>
      <c r="I14" s="29" t="s">
        <v>22</v>
      </c>
      <c r="J14" s="27"/>
      <c r="K14" s="27"/>
      <c r="L14" s="27"/>
      <c r="M14" s="27"/>
      <c r="N14" s="27"/>
      <c r="O14" s="27"/>
      <c r="P14" s="30"/>
    </row>
    <row r="15" spans="1:16" s="31" customFormat="1">
      <c r="A15" s="26" t="s">
        <v>23</v>
      </c>
      <c r="B15" s="27"/>
      <c r="C15" s="27"/>
      <c r="D15" s="27"/>
      <c r="E15" s="27"/>
      <c r="F15" s="27"/>
      <c r="G15" s="27"/>
      <c r="H15" s="28"/>
      <c r="I15" s="32" t="s">
        <v>24</v>
      </c>
      <c r="J15" s="27"/>
      <c r="K15" s="27"/>
      <c r="L15" s="27"/>
      <c r="M15" s="27"/>
      <c r="N15" s="27"/>
      <c r="O15" s="27"/>
      <c r="P15" s="30"/>
    </row>
    <row r="16" spans="1:16" s="31" customFormat="1">
      <c r="A16" s="26"/>
      <c r="B16" s="27"/>
      <c r="C16" s="27"/>
      <c r="D16" s="27"/>
      <c r="E16" s="27"/>
      <c r="F16" s="27"/>
      <c r="G16" s="27"/>
      <c r="H16" s="28"/>
      <c r="I16" s="32" t="s">
        <v>25</v>
      </c>
      <c r="J16" s="27"/>
      <c r="K16" s="27"/>
      <c r="L16" s="27"/>
      <c r="M16" s="27"/>
      <c r="N16" s="27"/>
      <c r="O16" s="27"/>
      <c r="P16" s="30"/>
    </row>
    <row r="17" spans="1:24" s="31" customFormat="1">
      <c r="A17" s="26" t="s">
        <v>26</v>
      </c>
      <c r="B17" s="27"/>
      <c r="C17" s="27"/>
      <c r="D17" s="27"/>
      <c r="E17" s="27"/>
      <c r="F17" s="27"/>
      <c r="G17" s="27"/>
      <c r="H17" s="28"/>
      <c r="I17" s="29" t="s">
        <v>27</v>
      </c>
      <c r="J17" s="27"/>
      <c r="K17" s="27"/>
      <c r="L17" s="27"/>
      <c r="M17" s="27"/>
      <c r="N17" s="27"/>
      <c r="O17" s="27"/>
      <c r="P17" s="30"/>
    </row>
    <row r="18" spans="1:24" s="31" customFormat="1">
      <c r="A18" s="26" t="s">
        <v>28</v>
      </c>
      <c r="B18" s="27"/>
      <c r="C18" s="27"/>
      <c r="D18" s="27"/>
      <c r="E18" s="27"/>
      <c r="F18" s="27"/>
      <c r="G18" s="27"/>
      <c r="H18" s="28"/>
      <c r="I18" s="29" t="s">
        <v>29</v>
      </c>
      <c r="J18" s="27"/>
      <c r="K18" s="27"/>
      <c r="L18" s="27"/>
      <c r="M18" s="27"/>
      <c r="N18" s="27"/>
      <c r="O18" s="27"/>
      <c r="P18" s="30"/>
    </row>
    <row r="19" spans="1:24" s="31" customFormat="1">
      <c r="A19" s="26"/>
      <c r="B19" s="27"/>
      <c r="C19" s="27"/>
      <c r="D19" s="27"/>
      <c r="E19" s="27"/>
      <c r="F19" s="27"/>
      <c r="G19" s="27"/>
      <c r="H19" s="28"/>
      <c r="I19" s="29" t="s">
        <v>30</v>
      </c>
      <c r="J19" s="27"/>
      <c r="K19" s="27"/>
      <c r="L19" s="27"/>
      <c r="M19" s="27"/>
      <c r="N19" s="27"/>
      <c r="O19" s="27"/>
      <c r="P19" s="30"/>
    </row>
    <row r="20" spans="1:24">
      <c r="A20" s="26" t="s">
        <v>31</v>
      </c>
      <c r="B20" s="29"/>
      <c r="C20" s="29"/>
      <c r="D20" s="29"/>
      <c r="E20" s="29"/>
      <c r="F20" s="29"/>
      <c r="G20" s="29"/>
      <c r="H20" s="33"/>
      <c r="I20" s="29" t="s">
        <v>32</v>
      </c>
      <c r="J20" s="29"/>
      <c r="K20" s="29"/>
      <c r="L20" s="29"/>
      <c r="M20" s="29"/>
      <c r="N20" s="29"/>
      <c r="O20" s="29"/>
      <c r="P20" s="34"/>
    </row>
    <row r="21" spans="1:24">
      <c r="A21" s="26" t="s">
        <v>33</v>
      </c>
      <c r="B21" s="29"/>
      <c r="C21" s="29"/>
      <c r="D21" s="29"/>
      <c r="E21" s="29"/>
      <c r="F21" s="29"/>
      <c r="G21" s="29"/>
      <c r="H21" s="33"/>
      <c r="I21" s="32" t="s">
        <v>34</v>
      </c>
      <c r="J21" s="29"/>
      <c r="K21" s="29"/>
      <c r="L21" s="29"/>
      <c r="M21" s="29"/>
      <c r="N21" s="29"/>
      <c r="O21" s="29"/>
      <c r="P21" s="34"/>
    </row>
    <row r="22" spans="1:24" ht="15.75" customHeight="1">
      <c r="A22" s="35"/>
      <c r="B22" s="36"/>
      <c r="C22" s="36"/>
      <c r="D22" s="36"/>
      <c r="E22" s="36"/>
      <c r="F22" s="36"/>
      <c r="G22" s="36"/>
      <c r="H22" s="37"/>
      <c r="I22" s="32" t="s">
        <v>35</v>
      </c>
      <c r="J22" s="36"/>
      <c r="K22" s="36"/>
      <c r="L22" s="36"/>
      <c r="M22" s="36"/>
      <c r="N22" s="36"/>
      <c r="O22" s="36"/>
      <c r="P22" s="38"/>
    </row>
    <row r="23" spans="1:24" ht="12.75" customHeight="1">
      <c r="A23" s="39" t="s">
        <v>36</v>
      </c>
      <c r="B23" s="14"/>
      <c r="C23" s="14"/>
      <c r="D23" s="14"/>
      <c r="E23" s="14"/>
      <c r="F23" s="14"/>
      <c r="G23" s="14"/>
      <c r="H23" s="14"/>
      <c r="I23" s="14"/>
      <c r="J23" s="14"/>
      <c r="K23" s="14"/>
      <c r="L23" s="14"/>
      <c r="M23" s="14"/>
      <c r="N23" s="14"/>
      <c r="O23" s="14"/>
      <c r="P23" s="40"/>
      <c r="R23" s="41">
        <v>54.7</v>
      </c>
    </row>
    <row r="24" spans="1:24">
      <c r="A24" s="24"/>
      <c r="B24" s="11"/>
      <c r="C24" s="11"/>
      <c r="D24" s="11" t="s">
        <v>37</v>
      </c>
      <c r="E24" s="11"/>
      <c r="F24" s="11"/>
      <c r="G24" s="11"/>
      <c r="H24" s="11"/>
      <c r="I24" s="11"/>
      <c r="J24" s="11"/>
      <c r="K24" s="11"/>
      <c r="L24" s="11"/>
      <c r="M24" s="11"/>
      <c r="N24" s="11"/>
      <c r="O24" s="11"/>
      <c r="P24" s="12"/>
      <c r="R24" s="41">
        <v>53.6</v>
      </c>
    </row>
    <row r="25" spans="1:24" ht="12.75" customHeight="1">
      <c r="A25" s="39" t="s">
        <v>38</v>
      </c>
      <c r="B25" s="42"/>
      <c r="C25" s="42"/>
      <c r="D25" s="42"/>
      <c r="E25" s="42"/>
      <c r="F25" s="42"/>
      <c r="G25" s="42"/>
      <c r="H25" s="42"/>
      <c r="I25" s="42"/>
      <c r="J25" s="42"/>
      <c r="K25" s="42"/>
      <c r="L25" s="42"/>
      <c r="M25" s="42"/>
      <c r="N25" s="42"/>
      <c r="O25" s="42"/>
      <c r="P25" s="43"/>
      <c r="R25" s="41">
        <v>55.4</v>
      </c>
    </row>
    <row r="26" spans="1:24">
      <c r="A26" s="89"/>
      <c r="B26" s="89"/>
      <c r="C26" s="89"/>
      <c r="D26" s="89"/>
      <c r="E26" s="89"/>
      <c r="F26" s="89"/>
      <c r="G26" s="89"/>
      <c r="H26" s="89"/>
      <c r="I26" s="89"/>
      <c r="J26" s="89"/>
      <c r="K26" s="89"/>
      <c r="L26" s="89"/>
      <c r="M26" s="89"/>
      <c r="N26" s="89"/>
      <c r="O26" s="89"/>
      <c r="P26" s="89"/>
      <c r="R26" s="41">
        <f>AVERAGE(R23:R25)</f>
        <v>54.56666666666667</v>
      </c>
    </row>
    <row r="27" spans="1:24" ht="12.75" customHeight="1">
      <c r="A27" s="90" t="s">
        <v>39</v>
      </c>
      <c r="B27" s="90"/>
      <c r="C27" s="90"/>
      <c r="D27" s="90"/>
      <c r="E27" s="91" t="s">
        <v>40</v>
      </c>
      <c r="F27" s="91"/>
      <c r="G27" s="91"/>
      <c r="H27" s="91" t="s">
        <v>41</v>
      </c>
      <c r="I27" s="91"/>
      <c r="J27" s="91"/>
      <c r="K27" s="91" t="s">
        <v>42</v>
      </c>
      <c r="L27" s="91"/>
      <c r="M27" s="91"/>
      <c r="N27" s="92" t="s">
        <v>43</v>
      </c>
      <c r="O27" s="92"/>
      <c r="P27" s="92"/>
    </row>
    <row r="28" spans="1:24">
      <c r="A28" s="90"/>
      <c r="B28" s="90"/>
      <c r="C28" s="90"/>
      <c r="D28" s="90"/>
      <c r="E28" s="91" t="s">
        <v>44</v>
      </c>
      <c r="F28" s="91"/>
      <c r="G28" s="91"/>
      <c r="H28" s="91" t="s">
        <v>45</v>
      </c>
      <c r="I28" s="91"/>
      <c r="J28" s="91"/>
      <c r="K28" s="91" t="s">
        <v>44</v>
      </c>
      <c r="L28" s="91"/>
      <c r="M28" s="91"/>
      <c r="N28" s="97">
        <v>0.54569999999999996</v>
      </c>
      <c r="O28" s="97"/>
      <c r="P28" s="97"/>
    </row>
    <row r="29" spans="1:24">
      <c r="A29" s="6"/>
      <c r="P29" s="9"/>
    </row>
    <row r="30" spans="1:24" s="29" customFormat="1" ht="17.25" customHeight="1">
      <c r="A30" s="44"/>
      <c r="B30" s="45"/>
      <c r="C30" s="93" t="s">
        <v>46</v>
      </c>
      <c r="D30" s="93"/>
      <c r="E30" s="93"/>
      <c r="F30" s="93"/>
      <c r="G30" s="93"/>
      <c r="H30" s="93"/>
      <c r="I30" s="93"/>
      <c r="J30" s="93"/>
      <c r="K30" s="93"/>
      <c r="L30" s="93"/>
      <c r="M30" s="93"/>
      <c r="N30" s="93"/>
      <c r="O30" s="45"/>
      <c r="P30" s="46"/>
    </row>
    <row r="31" spans="1:24" s="29" customFormat="1" ht="24.75" customHeight="1">
      <c r="A31" s="26"/>
      <c r="B31" s="27"/>
      <c r="C31" s="47" t="s">
        <v>47</v>
      </c>
      <c r="D31" s="94" t="s">
        <v>48</v>
      </c>
      <c r="E31" s="94"/>
      <c r="F31" s="47" t="s">
        <v>49</v>
      </c>
      <c r="G31" s="47" t="s">
        <v>50</v>
      </c>
      <c r="H31" s="47" t="s">
        <v>51</v>
      </c>
      <c r="I31" s="48" t="s">
        <v>52</v>
      </c>
      <c r="J31" s="48" t="s">
        <v>53</v>
      </c>
      <c r="K31" s="95" t="s">
        <v>54</v>
      </c>
      <c r="L31" s="95"/>
      <c r="M31" s="96" t="s">
        <v>55</v>
      </c>
      <c r="N31" s="96"/>
      <c r="P31" s="34"/>
      <c r="R31" s="49"/>
      <c r="S31" s="86">
        <v>8.3153000000000006</v>
      </c>
      <c r="T31" s="86"/>
      <c r="U31" s="86"/>
      <c r="V31" s="86">
        <v>8.3126999999999995</v>
      </c>
      <c r="W31" s="86"/>
      <c r="X31" s="86"/>
    </row>
    <row r="32" spans="1:24" s="29" customFormat="1" ht="24.75" customHeight="1">
      <c r="A32" s="26"/>
      <c r="B32" s="27"/>
      <c r="C32" s="51" t="s">
        <v>56</v>
      </c>
      <c r="D32" s="86">
        <v>4.8899999999999997</v>
      </c>
      <c r="E32" s="86"/>
      <c r="F32" s="50">
        <v>8.3140000000000001</v>
      </c>
      <c r="G32" s="50">
        <v>8.3140000000000001</v>
      </c>
      <c r="H32" s="50">
        <v>8.3140000000000001</v>
      </c>
      <c r="I32" s="50">
        <v>8.3134999999999994</v>
      </c>
      <c r="J32" s="50">
        <v>8.3140000000000001</v>
      </c>
      <c r="K32" s="86">
        <f>AVERAGE(F32:J32)</f>
        <v>8.3139000000000003</v>
      </c>
      <c r="L32" s="86"/>
      <c r="M32" s="87">
        <f>+SQRT((((K32-F32)*(K32-F32))+((K32-G32)*(K32-G32))+((K32-H32)*(K32-H32))+((K32-I32)*(K32-I32))+((K32-J32)*(K32-J32)))/5)</f>
        <v>2.0000000000024444E-4</v>
      </c>
      <c r="N32" s="87"/>
      <c r="P32" s="34"/>
      <c r="S32" s="86">
        <v>8.3291000000000004</v>
      </c>
      <c r="T32" s="86"/>
      <c r="U32" s="86"/>
      <c r="V32" s="86">
        <v>8.3267000000000007</v>
      </c>
      <c r="W32" s="86"/>
      <c r="X32" s="86"/>
    </row>
    <row r="33" spans="1:21" s="29" customFormat="1" ht="24.75" customHeight="1">
      <c r="A33" s="26"/>
      <c r="B33" s="27"/>
      <c r="C33" s="51" t="s">
        <v>57</v>
      </c>
      <c r="D33" s="86">
        <v>4.8899999999999997</v>
      </c>
      <c r="E33" s="86"/>
      <c r="F33" s="50">
        <v>8.3109999999999999</v>
      </c>
      <c r="G33" s="50">
        <v>8.3104999999999993</v>
      </c>
      <c r="H33" s="50">
        <v>8.3104999999999993</v>
      </c>
      <c r="I33" s="50">
        <v>8.3104999999999993</v>
      </c>
      <c r="J33" s="50">
        <v>8.3104999999999993</v>
      </c>
      <c r="K33" s="86">
        <f>AVERAGE(F33:J33)</f>
        <v>8.3105999999999973</v>
      </c>
      <c r="L33" s="86"/>
      <c r="M33" s="87">
        <f>+SQRT((((K33-F33)*(K33-F33))+((K33-G33)*(K33-G33))+((K33-H33)*(K33-H33))+((K33-I33)*(K33-I33))+((K33-J33)*(K33-J33)))/5)</f>
        <v>2.0000000000024444E-4</v>
      </c>
      <c r="N33" s="87"/>
      <c r="P33" s="34"/>
    </row>
    <row r="34" spans="1:21" s="29" customFormat="1" ht="24.75" customHeight="1">
      <c r="A34" s="26"/>
      <c r="B34" s="27"/>
      <c r="C34" s="51" t="s">
        <v>58</v>
      </c>
      <c r="D34" s="86">
        <v>4.95</v>
      </c>
      <c r="E34" s="86"/>
      <c r="F34" s="50">
        <v>8.3309999999999995</v>
      </c>
      <c r="G34" s="50">
        <v>8.3309999999999995</v>
      </c>
      <c r="H34" s="50">
        <v>8.3305000000000007</v>
      </c>
      <c r="I34" s="50">
        <v>8.3305000000000007</v>
      </c>
      <c r="J34" s="50">
        <v>8.3305000000000007</v>
      </c>
      <c r="K34" s="86">
        <f>AVERAGE(F34:J34)</f>
        <v>8.3307000000000002</v>
      </c>
      <c r="L34" s="86"/>
      <c r="M34" s="87">
        <f>+SQRT((((K34-F34)*(K34-F34))+((K34-G34)*(K34-G34))+((K34-H34)*(K34-H34))+((K34-I34)*(K34-I34))+((K34-J34)*(K34-J34)))/5)</f>
        <v>2.4494897427774695E-4</v>
      </c>
      <c r="N34" s="87"/>
      <c r="P34" s="34"/>
    </row>
    <row r="35" spans="1:21" s="29" customFormat="1" ht="24.75" customHeight="1">
      <c r="A35" s="26"/>
      <c r="B35" s="27"/>
      <c r="C35" s="51" t="s">
        <v>59</v>
      </c>
      <c r="D35" s="86">
        <v>4.95</v>
      </c>
      <c r="E35" s="86"/>
      <c r="F35" s="50">
        <v>8.33</v>
      </c>
      <c r="G35" s="50">
        <v>8.3294999999999995</v>
      </c>
      <c r="H35" s="50">
        <v>8.3294999999999995</v>
      </c>
      <c r="I35" s="50">
        <v>8.3294999999999995</v>
      </c>
      <c r="J35" s="50">
        <v>8.33</v>
      </c>
      <c r="K35" s="86">
        <f>AVERAGE(F35:J35)</f>
        <v>8.329699999999999</v>
      </c>
      <c r="L35" s="86"/>
      <c r="M35" s="87">
        <f>+SQRT((((K35-F35)*(K35-F35))+((K35-G35)*(K35-G35))+((K35-H35)*(K35-H35))+((K35-I35)*(K35-I35))+((K35-J35)*(K35-J35)))/5)</f>
        <v>2.4494897427861719E-4</v>
      </c>
      <c r="N35" s="87"/>
      <c r="P35" s="34"/>
    </row>
    <row r="36" spans="1:21" s="29" customFormat="1" ht="15" customHeight="1">
      <c r="A36" s="26"/>
      <c r="B36" s="27"/>
      <c r="C36" s="52"/>
      <c r="D36" s="88"/>
      <c r="E36" s="88"/>
      <c r="F36" s="53"/>
      <c r="G36" s="53"/>
      <c r="H36" s="53"/>
      <c r="I36" s="53"/>
      <c r="J36" s="53"/>
      <c r="K36" s="88"/>
      <c r="L36" s="88"/>
      <c r="M36" s="88"/>
      <c r="N36" s="88"/>
      <c r="P36" s="34"/>
    </row>
    <row r="37" spans="1:21" s="29" customFormat="1" ht="15" customHeight="1">
      <c r="A37" s="26"/>
      <c r="B37" s="27"/>
      <c r="C37" s="27"/>
      <c r="D37" s="84"/>
      <c r="E37" s="84"/>
      <c r="F37" s="54"/>
      <c r="G37" s="54"/>
      <c r="H37" s="54"/>
      <c r="I37" s="54"/>
      <c r="J37" s="54"/>
      <c r="K37" s="84"/>
      <c r="L37" s="84"/>
      <c r="M37" s="84"/>
      <c r="N37" s="84"/>
      <c r="P37" s="34"/>
    </row>
    <row r="38" spans="1:21" s="29" customFormat="1" ht="15" customHeight="1">
      <c r="A38" s="26"/>
      <c r="B38" s="27"/>
      <c r="C38" s="27"/>
      <c r="D38" s="84"/>
      <c r="E38" s="84"/>
      <c r="F38" s="54"/>
      <c r="G38" s="54"/>
      <c r="H38" s="54"/>
      <c r="I38" s="54"/>
      <c r="J38" s="54"/>
      <c r="K38" s="84"/>
      <c r="L38" s="84"/>
      <c r="M38" s="84"/>
      <c r="N38" s="84"/>
      <c r="P38" s="34"/>
    </row>
    <row r="39" spans="1:21" s="29" customFormat="1" ht="15" customHeight="1">
      <c r="A39" s="26"/>
      <c r="B39" s="27"/>
      <c r="C39" s="27"/>
      <c r="D39" s="84"/>
      <c r="E39" s="84"/>
      <c r="F39" s="54"/>
      <c r="G39" s="54"/>
      <c r="H39" s="54"/>
      <c r="I39" s="54"/>
      <c r="J39" s="54"/>
      <c r="K39" s="84"/>
      <c r="L39" s="84"/>
      <c r="M39" s="84"/>
      <c r="N39" s="84"/>
      <c r="P39" s="34"/>
    </row>
    <row r="40" spans="1:21" s="29" customFormat="1" ht="15" customHeight="1">
      <c r="A40" s="26"/>
      <c r="B40" s="27"/>
      <c r="C40" s="27"/>
      <c r="D40" s="84"/>
      <c r="E40" s="84"/>
      <c r="F40" s="54"/>
      <c r="G40" s="54"/>
      <c r="H40" s="54"/>
      <c r="I40" s="54"/>
      <c r="J40" s="54"/>
      <c r="K40" s="84"/>
      <c r="L40" s="84"/>
      <c r="M40" s="84"/>
      <c r="N40" s="84"/>
      <c r="P40" s="34"/>
    </row>
    <row r="41" spans="1:21" s="29" customFormat="1" ht="15" customHeight="1">
      <c r="A41" s="26"/>
      <c r="B41" s="27"/>
      <c r="C41" s="27"/>
      <c r="D41" s="84"/>
      <c r="E41" s="84"/>
      <c r="F41" s="54"/>
      <c r="G41" s="54"/>
      <c r="H41" s="54"/>
      <c r="I41" s="54"/>
      <c r="J41" s="54"/>
      <c r="K41" s="84"/>
      <c r="L41" s="84"/>
      <c r="M41" s="84"/>
      <c r="N41" s="84"/>
      <c r="P41" s="34"/>
    </row>
    <row r="42" spans="1:21" s="29" customFormat="1" ht="15" customHeight="1">
      <c r="A42" s="26"/>
      <c r="B42" s="27"/>
      <c r="C42" s="27"/>
      <c r="D42" s="84"/>
      <c r="E42" s="84"/>
      <c r="F42" s="54"/>
      <c r="G42" s="54"/>
      <c r="H42" s="54"/>
      <c r="I42" s="54"/>
      <c r="J42" s="54"/>
      <c r="K42" s="84"/>
      <c r="L42" s="84"/>
      <c r="M42" s="84"/>
      <c r="N42" s="84"/>
      <c r="P42" s="34"/>
    </row>
    <row r="43" spans="1:21" s="29" customFormat="1" ht="30" customHeight="1">
      <c r="A43" s="26"/>
      <c r="B43" s="27"/>
      <c r="C43" s="27"/>
      <c r="D43" s="83"/>
      <c r="E43" s="83"/>
      <c r="F43" s="54"/>
      <c r="G43" s="54"/>
      <c r="H43" s="54"/>
      <c r="I43" s="54"/>
      <c r="J43" s="54"/>
      <c r="K43" s="84"/>
      <c r="L43" s="84"/>
      <c r="M43" s="84"/>
      <c r="N43" s="84"/>
      <c r="P43" s="34"/>
    </row>
    <row r="44" spans="1:21" ht="30" customHeight="1">
      <c r="A44" s="6"/>
      <c r="C44" s="27"/>
      <c r="D44" s="83"/>
      <c r="E44" s="83"/>
      <c r="F44" s="54"/>
      <c r="G44" s="54"/>
      <c r="H44" s="54"/>
      <c r="I44" s="54"/>
      <c r="J44" s="54"/>
      <c r="K44" s="84"/>
      <c r="L44" s="84"/>
      <c r="M44" s="84"/>
      <c r="N44" s="84"/>
      <c r="P44" s="9"/>
      <c r="R44" s="55"/>
    </row>
    <row r="45" spans="1:21" ht="15" customHeight="1">
      <c r="A45" s="6"/>
      <c r="C45" s="27"/>
      <c r="D45" s="29"/>
      <c r="E45" s="29"/>
      <c r="F45" s="29"/>
      <c r="G45" s="29"/>
      <c r="H45" s="29"/>
      <c r="I45" s="56"/>
      <c r="J45" s="56"/>
      <c r="K45" s="56"/>
      <c r="L45" s="56"/>
      <c r="M45" s="56"/>
      <c r="N45" s="56"/>
      <c r="P45" s="9"/>
    </row>
    <row r="46" spans="1:21" ht="21" customHeight="1">
      <c r="A46" s="6"/>
      <c r="C46" s="27"/>
      <c r="D46" s="85"/>
      <c r="E46" s="85"/>
      <c r="F46" s="85"/>
      <c r="G46" s="85"/>
      <c r="H46" s="85"/>
      <c r="I46" s="82"/>
      <c r="J46" s="82"/>
      <c r="K46" s="82"/>
      <c r="L46" s="82"/>
      <c r="M46" s="82"/>
      <c r="N46" s="82"/>
      <c r="P46" s="9"/>
      <c r="S46" s="77" t="s">
        <v>60</v>
      </c>
      <c r="T46" s="77"/>
      <c r="U46" s="77"/>
    </row>
    <row r="47" spans="1:21" s="29" customFormat="1" ht="21" customHeight="1">
      <c r="A47" s="26"/>
      <c r="C47" s="80" t="s">
        <v>61</v>
      </c>
      <c r="D47" s="80"/>
      <c r="E47" s="80"/>
      <c r="F47" s="80"/>
      <c r="G47" s="80"/>
      <c r="H47" s="80"/>
      <c r="I47" s="80" t="s">
        <v>62</v>
      </c>
      <c r="J47" s="80"/>
      <c r="K47" s="80"/>
      <c r="L47" s="77"/>
      <c r="M47" s="77"/>
      <c r="N47" s="77"/>
      <c r="P47" s="34"/>
      <c r="S47" s="77" t="s">
        <v>63</v>
      </c>
      <c r="T47" s="77"/>
      <c r="U47" s="77"/>
    </row>
    <row r="48" spans="1:21" s="29" customFormat="1" ht="21" customHeight="1">
      <c r="A48" s="26"/>
      <c r="C48" s="76" t="s">
        <v>64</v>
      </c>
      <c r="D48" s="76"/>
      <c r="E48" s="76"/>
      <c r="F48" s="77" t="s">
        <v>60</v>
      </c>
      <c r="G48" s="77"/>
      <c r="H48" s="77"/>
      <c r="I48" s="76" t="s">
        <v>64</v>
      </c>
      <c r="J48" s="76"/>
      <c r="K48" s="76"/>
      <c r="L48" s="77" t="s">
        <v>65</v>
      </c>
      <c r="M48" s="77"/>
      <c r="N48" s="77"/>
      <c r="P48" s="34"/>
      <c r="S48" s="77" t="s">
        <v>66</v>
      </c>
      <c r="T48" s="77"/>
      <c r="U48" s="77"/>
    </row>
    <row r="49" spans="1:21" ht="12.75" customHeight="1">
      <c r="A49" s="81" t="s">
        <v>67</v>
      </c>
      <c r="B49" s="81"/>
      <c r="C49" s="81"/>
      <c r="D49" s="81"/>
      <c r="E49" s="81"/>
      <c r="F49" s="81"/>
      <c r="G49" s="81"/>
      <c r="H49" s="81"/>
      <c r="I49" s="81"/>
      <c r="J49" s="81"/>
      <c r="K49" s="81"/>
      <c r="L49" s="81"/>
      <c r="M49" s="81"/>
      <c r="N49" s="81"/>
      <c r="O49" s="81"/>
      <c r="P49" s="81"/>
      <c r="S49" s="77" t="s">
        <v>68</v>
      </c>
      <c r="T49" s="77"/>
      <c r="U49" s="77"/>
    </row>
    <row r="50" spans="1:21">
      <c r="A50" s="81"/>
      <c r="B50" s="81"/>
      <c r="C50" s="81"/>
      <c r="D50" s="81"/>
      <c r="E50" s="81"/>
      <c r="F50" s="81"/>
      <c r="G50" s="81"/>
      <c r="H50" s="81"/>
      <c r="I50" s="81"/>
      <c r="J50" s="81"/>
      <c r="K50" s="81"/>
      <c r="L50" s="81"/>
      <c r="M50" s="81"/>
      <c r="N50" s="81"/>
      <c r="O50" s="81"/>
      <c r="P50" s="81"/>
      <c r="S50" s="77" t="s">
        <v>69</v>
      </c>
      <c r="T50" s="77"/>
      <c r="U50" s="77"/>
    </row>
    <row r="51" spans="1:21">
      <c r="A51" s="6" t="s">
        <v>70</v>
      </c>
      <c r="P51" s="9"/>
    </row>
    <row r="52" spans="1:21">
      <c r="A52" s="78" t="s">
        <v>71</v>
      </c>
      <c r="B52" s="78"/>
      <c r="C52" s="78"/>
      <c r="D52" s="78"/>
      <c r="E52" s="78"/>
      <c r="F52" s="78"/>
      <c r="G52" s="78"/>
      <c r="H52" s="78"/>
      <c r="I52" s="78"/>
      <c r="J52" s="78"/>
      <c r="K52" s="78"/>
      <c r="L52" s="78"/>
      <c r="M52" s="78"/>
      <c r="N52" s="78"/>
      <c r="O52" s="78"/>
      <c r="P52" s="78"/>
    </row>
    <row r="53" spans="1:21">
      <c r="A53" s="79" t="s">
        <v>72</v>
      </c>
      <c r="B53" s="79"/>
      <c r="C53" s="79"/>
      <c r="D53" s="79"/>
      <c r="E53" s="79"/>
      <c r="F53" s="79"/>
      <c r="G53" s="79"/>
      <c r="H53" s="79"/>
      <c r="I53" s="79"/>
      <c r="J53" s="79"/>
      <c r="K53" s="79"/>
      <c r="L53" s="79"/>
      <c r="M53" s="79"/>
      <c r="N53" s="79"/>
      <c r="O53" s="79"/>
      <c r="P53" s="79"/>
    </row>
    <row r="54" spans="1:21">
      <c r="A54" s="79" t="s">
        <v>73</v>
      </c>
      <c r="B54" s="79"/>
      <c r="C54" s="79"/>
      <c r="D54" s="79"/>
      <c r="E54" s="79"/>
      <c r="F54" s="79"/>
      <c r="G54" s="79"/>
      <c r="H54" s="79"/>
      <c r="I54" s="79"/>
      <c r="J54" s="79"/>
      <c r="K54" s="79"/>
      <c r="L54" s="79"/>
      <c r="M54" s="79"/>
      <c r="N54" s="79"/>
      <c r="O54" s="79"/>
      <c r="P54" s="79"/>
    </row>
    <row r="55" spans="1:21">
      <c r="A55" s="79" t="s">
        <v>74</v>
      </c>
      <c r="B55" s="79"/>
      <c r="C55" s="79"/>
      <c r="D55" s="79"/>
      <c r="E55" s="79"/>
      <c r="F55" s="79"/>
      <c r="G55" s="79"/>
      <c r="H55" s="79"/>
      <c r="I55" s="79"/>
      <c r="J55" s="79"/>
      <c r="K55" s="79"/>
      <c r="L55" s="79"/>
      <c r="M55" s="79"/>
      <c r="N55" s="79"/>
      <c r="O55" s="79"/>
      <c r="P55" s="79"/>
    </row>
    <row r="56" spans="1:21" ht="12" customHeight="1">
      <c r="A56" s="75"/>
      <c r="B56" s="75"/>
      <c r="C56" s="75"/>
      <c r="D56" s="75"/>
      <c r="E56" s="75"/>
      <c r="F56" s="75"/>
      <c r="G56" s="75"/>
      <c r="H56" s="75"/>
      <c r="I56" s="75"/>
      <c r="J56" s="75"/>
      <c r="K56" s="75"/>
      <c r="L56" s="75"/>
      <c r="M56" s="75"/>
      <c r="N56" s="75"/>
      <c r="O56" s="75"/>
      <c r="P56" s="75"/>
    </row>
  </sheetData>
  <sheetProtection selectLockedCells="1" selectUnlockedCells="1"/>
  <mergeCells count="91">
    <mergeCell ref="M7:P7"/>
    <mergeCell ref="D1:M5"/>
    <mergeCell ref="N3:P3"/>
    <mergeCell ref="A4:C4"/>
    <mergeCell ref="A5:C5"/>
    <mergeCell ref="M6:P6"/>
    <mergeCell ref="M9:P9"/>
    <mergeCell ref="M10:P10"/>
    <mergeCell ref="M11:P11"/>
    <mergeCell ref="M12:P12"/>
    <mergeCell ref="A13:H13"/>
    <mergeCell ref="I13:P13"/>
    <mergeCell ref="S31:U31"/>
    <mergeCell ref="V31:X31"/>
    <mergeCell ref="A26:P26"/>
    <mergeCell ref="A27:D28"/>
    <mergeCell ref="E27:G27"/>
    <mergeCell ref="H27:J27"/>
    <mergeCell ref="K27:M27"/>
    <mergeCell ref="N27:P27"/>
    <mergeCell ref="E28:G28"/>
    <mergeCell ref="H28:J28"/>
    <mergeCell ref="C30:N30"/>
    <mergeCell ref="D31:E31"/>
    <mergeCell ref="K31:L31"/>
    <mergeCell ref="M31:N31"/>
    <mergeCell ref="K28:M28"/>
    <mergeCell ref="N28:P28"/>
    <mergeCell ref="V32:X32"/>
    <mergeCell ref="D33:E33"/>
    <mergeCell ref="K33:L33"/>
    <mergeCell ref="M33:N33"/>
    <mergeCell ref="D32:E32"/>
    <mergeCell ref="K32:L32"/>
    <mergeCell ref="S32:U32"/>
    <mergeCell ref="M32:N32"/>
    <mergeCell ref="D34:E34"/>
    <mergeCell ref="K34:L34"/>
    <mergeCell ref="M34:N34"/>
    <mergeCell ref="D36:E36"/>
    <mergeCell ref="K36:L36"/>
    <mergeCell ref="M36:N36"/>
    <mergeCell ref="D35:E35"/>
    <mergeCell ref="K35:L35"/>
    <mergeCell ref="M35:N35"/>
    <mergeCell ref="D37:E37"/>
    <mergeCell ref="K37:L37"/>
    <mergeCell ref="M37:N37"/>
    <mergeCell ref="D38:E38"/>
    <mergeCell ref="K38:L38"/>
    <mergeCell ref="M38:N38"/>
    <mergeCell ref="D39:E39"/>
    <mergeCell ref="K39:L39"/>
    <mergeCell ref="M39:N39"/>
    <mergeCell ref="D42:E42"/>
    <mergeCell ref="K42:L42"/>
    <mergeCell ref="M42:N42"/>
    <mergeCell ref="D40:E40"/>
    <mergeCell ref="K40:L40"/>
    <mergeCell ref="M40:N40"/>
    <mergeCell ref="D41:E41"/>
    <mergeCell ref="K41:L41"/>
    <mergeCell ref="M41:N41"/>
    <mergeCell ref="D43:E43"/>
    <mergeCell ref="K43:L43"/>
    <mergeCell ref="M43:N43"/>
    <mergeCell ref="D44:E44"/>
    <mergeCell ref="D46:H46"/>
    <mergeCell ref="K44:L44"/>
    <mergeCell ref="L46:N46"/>
    <mergeCell ref="M44:N44"/>
    <mergeCell ref="S49:U49"/>
    <mergeCell ref="S50:U50"/>
    <mergeCell ref="S46:U46"/>
    <mergeCell ref="C47:E47"/>
    <mergeCell ref="F47:H47"/>
    <mergeCell ref="I47:K47"/>
    <mergeCell ref="L47:N47"/>
    <mergeCell ref="S47:U47"/>
    <mergeCell ref="A49:P50"/>
    <mergeCell ref="I46:K46"/>
    <mergeCell ref="S48:U48"/>
    <mergeCell ref="A56:P56"/>
    <mergeCell ref="C48:E48"/>
    <mergeCell ref="F48:H48"/>
    <mergeCell ref="I48:K48"/>
    <mergeCell ref="L48:N48"/>
    <mergeCell ref="A52:P52"/>
    <mergeCell ref="A53:P53"/>
    <mergeCell ref="A54:P54"/>
    <mergeCell ref="A55:P55"/>
  </mergeCells>
  <phoneticPr fontId="0" type="noConversion"/>
  <conditionalFormatting sqref="K32:L32">
    <cfRule type="cellIs" dxfId="38" priority="1" stopIfTrue="1" operator="between">
      <formula>$D$32+0.03</formula>
      <formula>$D$32-0.03</formula>
    </cfRule>
    <cfRule type="cellIs" dxfId="37" priority="2" stopIfTrue="1" operator="greaterThan">
      <formula>$D$32+0.03</formula>
    </cfRule>
    <cfRule type="cellIs" dxfId="36" priority="3" stopIfTrue="1" operator="lessThan">
      <formula>$D$32-0.03</formula>
    </cfRule>
  </conditionalFormatting>
  <conditionalFormatting sqref="K33:L33">
    <cfRule type="cellIs" dxfId="35" priority="4" stopIfTrue="1" operator="between">
      <formula>$D$33+0.03</formula>
      <formula>$D$33-0.03</formula>
    </cfRule>
    <cfRule type="cellIs" dxfId="34" priority="5" stopIfTrue="1" operator="greaterThan">
      <formula>$D$33+0.03</formula>
    </cfRule>
    <cfRule type="cellIs" dxfId="33" priority="6" stopIfTrue="1" operator="lessThan">
      <formula>$D$33-0.03</formula>
    </cfRule>
  </conditionalFormatting>
  <conditionalFormatting sqref="K34:L34">
    <cfRule type="cellIs" dxfId="32" priority="7" stopIfTrue="1" operator="between">
      <formula>$D$34+0.03</formula>
      <formula>$D$34-0.03</formula>
    </cfRule>
    <cfRule type="cellIs" dxfId="31" priority="8" stopIfTrue="1" operator="greaterThan">
      <formula>$D$34+0.03</formula>
    </cfRule>
    <cfRule type="cellIs" dxfId="30" priority="9" stopIfTrue="1" operator="lessThan">
      <formula>$D$34-0.03</formula>
    </cfRule>
  </conditionalFormatting>
  <conditionalFormatting sqref="K35:L35">
    <cfRule type="cellIs" dxfId="29" priority="10" stopIfTrue="1" operator="between">
      <formula>$D$35+0.03</formula>
      <formula>$D$35-0.03</formula>
    </cfRule>
    <cfRule type="cellIs" dxfId="28" priority="11" stopIfTrue="1" operator="greaterThan">
      <formula>$D$35+0.03</formula>
    </cfRule>
    <cfRule type="cellIs" dxfId="27" priority="12" stopIfTrue="1" operator="lessThan">
      <formula>$D$35-0.03</formula>
    </cfRule>
  </conditionalFormatting>
  <conditionalFormatting sqref="S31:X31">
    <cfRule type="cellIs" priority="13" stopIfTrue="1" operator="between">
      <formula>$F$36+0.03</formula>
      <formula>$F$36-0.03</formula>
    </cfRule>
    <cfRule type="cellIs" dxfId="26" priority="14" stopIfTrue="1" operator="greaterThan">
      <formula>$F$36+0.03</formula>
    </cfRule>
    <cfRule type="cellIs" dxfId="25" priority="15" stopIfTrue="1" operator="lessThan">
      <formula>$F$36-0.03</formula>
    </cfRule>
  </conditionalFormatting>
  <conditionalFormatting sqref="S32:X32">
    <cfRule type="cellIs" priority="16" stopIfTrue="1" operator="between">
      <formula>$F$37+0.03</formula>
      <formula>$F$37-0.03</formula>
    </cfRule>
    <cfRule type="cellIs" dxfId="24" priority="17" stopIfTrue="1" operator="greaterThan">
      <formula>$F$37+0.03</formula>
    </cfRule>
    <cfRule type="cellIs" dxfId="23" priority="18" stopIfTrue="1" operator="lessThan">
      <formula>$F$37-0.03</formula>
    </cfRule>
  </conditionalFormatting>
  <pageMargins left="0.52013888888888893" right="0.25" top="0.59027777777777779" bottom="0.22013888888888888" header="0.51180555555555551" footer="0.1701388888888889"/>
  <pageSetup scale="85" firstPageNumber="0" orientation="portrait" horizontalDpi="300" verticalDpi="300" r:id="rId1"/>
  <headerFooter alignWithMargins="0">
    <oddFooter>&amp;CPage 01of 01&amp;RLAB/F/25  R:00</oddFooter>
  </headerFooter>
  <colBreaks count="1" manualBreakCount="1">
    <brk id="16" max="1048575" man="1"/>
  </col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52"/>
  <sheetViews>
    <sheetView showGridLines="0" tabSelected="1" zoomScaleNormal="100" workbookViewId="0">
      <selection activeCell="C37" sqref="C37"/>
    </sheetView>
  </sheetViews>
  <sheetFormatPr defaultRowHeight="12.75"/>
  <cols>
    <col min="1" max="4" width="6.28515625" customWidth="1"/>
    <col min="5" max="7" width="7.140625" customWidth="1"/>
    <col min="8" max="8" width="8.140625" customWidth="1"/>
    <col min="9" max="12" width="7.140625" customWidth="1"/>
    <col min="13" max="13" width="6.28515625" customWidth="1"/>
    <col min="14" max="14" width="6.5703125" customWidth="1"/>
    <col min="15" max="15" width="6.28515625" customWidth="1"/>
    <col min="16" max="16" width="6.5703125" customWidth="1"/>
    <col min="17" max="17" width="6" customWidth="1"/>
    <col min="18" max="18" width="10.140625" customWidth="1"/>
    <col min="19" max="19" width="8.85546875" customWidth="1"/>
    <col min="20" max="21" width="6.28515625" customWidth="1"/>
    <col min="22" max="23" width="9.140625" customWidth="1"/>
  </cols>
  <sheetData>
    <row r="1" spans="1:22" ht="20.25" customHeight="1">
      <c r="A1" s="140" t="s">
        <v>0</v>
      </c>
      <c r="B1" s="141"/>
      <c r="C1" s="141"/>
      <c r="D1" s="141"/>
      <c r="E1" s="141"/>
      <c r="F1" s="141"/>
      <c r="G1" s="141"/>
      <c r="H1" s="141"/>
      <c r="I1" s="141"/>
      <c r="J1" s="141"/>
      <c r="K1" s="141"/>
      <c r="L1" s="141"/>
      <c r="M1" s="142"/>
      <c r="N1" s="4"/>
      <c r="O1" s="2"/>
      <c r="P1" s="5"/>
    </row>
    <row r="2" spans="1:22" ht="20.25" customHeight="1">
      <c r="A2" s="143"/>
      <c r="B2" s="144"/>
      <c r="C2" s="144"/>
      <c r="D2" s="144"/>
      <c r="E2" s="144"/>
      <c r="F2" s="144"/>
      <c r="G2" s="144"/>
      <c r="H2" s="144"/>
      <c r="I2" s="144"/>
      <c r="J2" s="144"/>
      <c r="K2" s="144"/>
      <c r="L2" s="144"/>
      <c r="M2" s="145"/>
      <c r="N2" s="8"/>
      <c r="P2" s="9"/>
      <c r="T2" s="129"/>
      <c r="U2" s="129"/>
      <c r="V2" s="129"/>
    </row>
    <row r="3" spans="1:22" ht="20.25" customHeight="1">
      <c r="A3" s="143"/>
      <c r="B3" s="144"/>
      <c r="C3" s="144"/>
      <c r="D3" s="144"/>
      <c r="E3" s="144"/>
      <c r="F3" s="144"/>
      <c r="G3" s="144"/>
      <c r="H3" s="144"/>
      <c r="I3" s="144"/>
      <c r="J3" s="144"/>
      <c r="K3" s="144"/>
      <c r="L3" s="144"/>
      <c r="M3" s="145"/>
      <c r="N3" s="101" t="s">
        <v>1</v>
      </c>
      <c r="O3" s="101"/>
      <c r="P3" s="101"/>
    </row>
    <row r="4" spans="1:22" ht="11.25" customHeight="1">
      <c r="A4" s="143"/>
      <c r="B4" s="144"/>
      <c r="C4" s="144"/>
      <c r="D4" s="144"/>
      <c r="E4" s="144"/>
      <c r="F4" s="144"/>
      <c r="G4" s="144"/>
      <c r="H4" s="144"/>
      <c r="I4" s="144"/>
      <c r="J4" s="144"/>
      <c r="K4" s="144"/>
      <c r="L4" s="144"/>
      <c r="M4" s="145"/>
      <c r="N4" s="8"/>
      <c r="P4" s="9"/>
      <c r="Q4" s="57"/>
      <c r="R4" s="133"/>
      <c r="S4" s="134"/>
      <c r="T4" s="134"/>
      <c r="U4" s="135"/>
    </row>
    <row r="5" spans="1:22" ht="10.5" customHeight="1">
      <c r="A5" s="146"/>
      <c r="B5" s="147"/>
      <c r="C5" s="147"/>
      <c r="D5" s="147"/>
      <c r="E5" s="147"/>
      <c r="F5" s="147"/>
      <c r="G5" s="147"/>
      <c r="H5" s="147"/>
      <c r="I5" s="147"/>
      <c r="J5" s="147"/>
      <c r="K5" s="147"/>
      <c r="L5" s="147"/>
      <c r="M5" s="148"/>
      <c r="N5" s="11"/>
      <c r="O5" s="11"/>
      <c r="P5" s="12"/>
      <c r="R5" s="92" t="s">
        <v>97</v>
      </c>
      <c r="S5" s="92"/>
      <c r="T5" s="92"/>
      <c r="U5" s="92"/>
      <c r="V5" s="6"/>
    </row>
    <row r="6" spans="1:22">
      <c r="A6" s="6"/>
      <c r="B6" s="13" t="s">
        <v>4</v>
      </c>
      <c r="E6" s="14"/>
      <c r="F6" s="14"/>
      <c r="G6" s="14"/>
      <c r="H6" s="15"/>
      <c r="I6" s="16" t="s">
        <v>5</v>
      </c>
      <c r="J6" s="17"/>
      <c r="K6" s="17"/>
      <c r="L6" s="18"/>
      <c r="M6" s="121" t="s">
        <v>121</v>
      </c>
      <c r="N6" s="122"/>
      <c r="O6" s="122"/>
      <c r="P6" s="123"/>
      <c r="R6" s="130" t="s">
        <v>6</v>
      </c>
      <c r="S6" s="131"/>
      <c r="T6" s="131"/>
      <c r="U6" s="132"/>
    </row>
    <row r="7" spans="1:22">
      <c r="A7" s="19">
        <v>110</v>
      </c>
      <c r="B7" s="20" t="str">
        <f>IF(A7=20,"SANSERA ENGINEERING  LTD PLANT 2",IF(A7=30,"SANSERA ENGINEERING  LTD. PLANT 3",IF(A7=10,"SANSERA ENGINEERING  LTD. PLANT 1",IF(A7=50,"GEAROCK FORGE  LTD.",IF(A7=70,"SANSERA ENGINEERING  LTD. PLANT  7 ",IF(A7=80,"SANSERA ENGINEERING  LTD. PLANT  8.",IF(A7=90,"SANSERA ENGINEERING LTD. AEROSPACE DIVISION ",IF(A7=110,"SANSERA ENGINEERING  LTD PLANT 11 "))))))))</f>
        <v xml:space="preserve">SANSERA ENGINEERING  LTD PLANT 11 </v>
      </c>
      <c r="H7" s="7"/>
      <c r="I7" s="16" t="s">
        <v>7</v>
      </c>
      <c r="J7" s="17"/>
      <c r="K7" s="17"/>
      <c r="L7" s="18"/>
      <c r="M7" s="121" t="s">
        <v>79</v>
      </c>
      <c r="N7" s="122"/>
      <c r="O7" s="122"/>
      <c r="P7" s="123"/>
      <c r="R7" s="92" t="s">
        <v>8</v>
      </c>
      <c r="S7" s="92"/>
      <c r="T7" s="92"/>
      <c r="U7" s="92"/>
    </row>
    <row r="8" spans="1:22">
      <c r="A8" s="6"/>
      <c r="B8" s="20" t="str">
        <f>IF(A7=20,"261/C, BOMMASANDRA INDUSTRIAL AREA",IF(A7=30,"BOMMASANDRA - JIGANI LINK ROAD",IF(A7=10,"No.26/6 YARANDAHALLI (V), JIGANI (HOBLI)",IF(A7=50,"NO:143,B-8,BOMMASANDRA INDL AREA",IF(A7=70,"FAC:143A, BOMMASANDRA - JIGANI LINK ROAD",IF(A7=80,"# 1, BOMMASANDRA - JIGANI LINK ROAD",IF(A7=90,"SY.NO.101/3, 101/4 &amp; 105/3, MUNESWARA FARM,",IF(A7=110,"BIDADI INDUSTRIAL AREA PLOT NO 48,PHASE 2,"))))))))</f>
        <v>BIDADI INDUSTRIAL AREA PLOT NO 48,PHASE 2,</v>
      </c>
      <c r="H8" s="7"/>
      <c r="I8" s="16" t="s">
        <v>75</v>
      </c>
      <c r="J8" s="17"/>
      <c r="K8" s="17"/>
      <c r="L8" s="18"/>
      <c r="M8" s="16" t="s">
        <v>10</v>
      </c>
      <c r="N8" s="73">
        <v>31.2</v>
      </c>
      <c r="O8" s="22" t="s">
        <v>11</v>
      </c>
      <c r="P8" s="74">
        <v>30.8</v>
      </c>
      <c r="R8" s="130" t="s">
        <v>76</v>
      </c>
      <c r="S8" s="131"/>
      <c r="T8" s="131"/>
      <c r="U8" s="132"/>
    </row>
    <row r="9" spans="1:22">
      <c r="A9" s="6"/>
      <c r="B9" s="20" t="str">
        <f>IF(A7=20,"BANGALORE - 560 099",IF(A7=30,"INDL AREA, BANGALORE - 560 099",IF(A7=10,"BOMMASANDRA INDL. AREA,BANGALORE-99",IF(A7=50,"ANEKAL TALUK",IF(A7=70,"BANGALORE - 560 099",IF(A7=80,"BANGALORE - 560 099",IF(A7=90,"KIADB PHASE-2, JIGANI IND 560105, KARNATAKA",IF(A7=110,"SECTOR 2 RAMANAGARA DISTRICT"))))))))</f>
        <v>SECTOR 2 RAMANAGARA DISTRICT</v>
      </c>
      <c r="H9" s="7"/>
      <c r="I9" s="16" t="s">
        <v>118</v>
      </c>
      <c r="J9" s="17"/>
      <c r="K9" s="17"/>
      <c r="L9" s="18"/>
      <c r="M9" s="136">
        <v>10145637</v>
      </c>
      <c r="N9" s="137"/>
      <c r="O9" s="137"/>
      <c r="P9" s="138"/>
      <c r="Q9" s="31">
        <f>LEN(M9)</f>
        <v>8</v>
      </c>
      <c r="R9" s="92" t="s">
        <v>77</v>
      </c>
      <c r="S9" s="92"/>
      <c r="T9" s="92"/>
      <c r="U9" s="92"/>
    </row>
    <row r="10" spans="1:22">
      <c r="A10" s="6"/>
      <c r="B10" s="20"/>
      <c r="H10" s="7"/>
      <c r="I10" s="16" t="s">
        <v>12</v>
      </c>
      <c r="J10" s="17"/>
      <c r="K10" s="17"/>
      <c r="L10" s="18"/>
      <c r="M10" s="139">
        <v>45688</v>
      </c>
      <c r="N10" s="139"/>
      <c r="O10" s="139"/>
      <c r="P10" s="139"/>
      <c r="R10" s="92" t="s">
        <v>77</v>
      </c>
      <c r="S10" s="92"/>
      <c r="T10" s="92"/>
      <c r="U10" s="92"/>
    </row>
    <row r="11" spans="1:22">
      <c r="A11" s="6"/>
      <c r="B11" s="20"/>
      <c r="H11" s="7"/>
      <c r="I11" s="16" t="s">
        <v>103</v>
      </c>
      <c r="J11" s="17"/>
      <c r="K11" s="17"/>
      <c r="L11" s="18"/>
      <c r="M11" s="139">
        <v>45689</v>
      </c>
      <c r="N11" s="139"/>
      <c r="O11" s="139"/>
      <c r="P11" s="139"/>
      <c r="Q11" s="31"/>
      <c r="R11" s="92" t="s">
        <v>100</v>
      </c>
      <c r="S11" s="92"/>
      <c r="T11" s="92"/>
      <c r="U11" s="92"/>
    </row>
    <row r="12" spans="1:22">
      <c r="A12" s="127" t="s">
        <v>117</v>
      </c>
      <c r="B12" s="122"/>
      <c r="C12" s="122"/>
      <c r="D12" s="128"/>
      <c r="E12" s="124">
        <v>45687</v>
      </c>
      <c r="F12" s="125"/>
      <c r="G12" s="125"/>
      <c r="H12" s="126"/>
      <c r="I12" s="16" t="s">
        <v>15</v>
      </c>
      <c r="J12" s="17"/>
      <c r="K12" s="17"/>
      <c r="L12" s="18"/>
      <c r="M12" s="120" t="s">
        <v>124</v>
      </c>
      <c r="N12" s="120"/>
      <c r="O12" s="120"/>
      <c r="P12" s="120"/>
      <c r="Q12" s="31"/>
      <c r="R12" s="92" t="s">
        <v>95</v>
      </c>
      <c r="S12" s="92"/>
      <c r="T12" s="92"/>
      <c r="U12" s="92"/>
    </row>
    <row r="13" spans="1:22">
      <c r="A13" s="127" t="s">
        <v>78</v>
      </c>
      <c r="B13" s="122"/>
      <c r="C13" s="122"/>
      <c r="D13" s="128"/>
      <c r="E13" s="124" t="s">
        <v>123</v>
      </c>
      <c r="F13" s="125"/>
      <c r="G13" s="125"/>
      <c r="H13" s="126"/>
      <c r="I13" s="16" t="s">
        <v>119</v>
      </c>
      <c r="J13" s="17"/>
      <c r="K13" s="17"/>
      <c r="L13" s="18"/>
      <c r="M13" s="121" t="s">
        <v>125</v>
      </c>
      <c r="N13" s="122"/>
      <c r="O13" s="122"/>
      <c r="P13" s="123"/>
      <c r="Q13" s="31">
        <f>LEN(M13)</f>
        <v>14</v>
      </c>
      <c r="R13" s="72"/>
      <c r="S13" s="72"/>
      <c r="T13" s="72"/>
      <c r="U13" s="72"/>
    </row>
    <row r="14" spans="1:22">
      <c r="A14" s="127" t="s">
        <v>110</v>
      </c>
      <c r="B14" s="122"/>
      <c r="C14" s="122"/>
      <c r="D14" s="128"/>
      <c r="E14" s="121" t="s">
        <v>111</v>
      </c>
      <c r="F14" s="122"/>
      <c r="G14" s="122"/>
      <c r="H14" s="128"/>
      <c r="I14" s="16" t="s">
        <v>93</v>
      </c>
      <c r="J14" s="17"/>
      <c r="K14" s="17"/>
      <c r="L14" s="18"/>
      <c r="M14" s="156" t="s">
        <v>126</v>
      </c>
      <c r="N14" s="157"/>
      <c r="O14" s="157"/>
      <c r="P14" s="157"/>
      <c r="Q14" s="31">
        <f>LEN(M14)</f>
        <v>1</v>
      </c>
      <c r="R14" s="92" t="s">
        <v>79</v>
      </c>
      <c r="S14" s="92"/>
      <c r="T14" s="92"/>
      <c r="U14" s="92"/>
    </row>
    <row r="15" spans="1:22">
      <c r="A15" s="127" t="s">
        <v>113</v>
      </c>
      <c r="B15" s="122"/>
      <c r="C15" s="122"/>
      <c r="D15" s="128"/>
      <c r="E15" s="121" t="s">
        <v>114</v>
      </c>
      <c r="F15" s="122"/>
      <c r="G15" s="122"/>
      <c r="H15" s="128"/>
      <c r="I15" s="121" t="s">
        <v>109</v>
      </c>
      <c r="J15" s="122"/>
      <c r="K15" s="122"/>
      <c r="L15" s="128"/>
      <c r="M15" s="154" t="s">
        <v>112</v>
      </c>
      <c r="N15" s="155"/>
      <c r="O15" s="155"/>
      <c r="P15" s="155"/>
      <c r="Q15" s="31"/>
      <c r="R15" s="31"/>
      <c r="S15" s="31"/>
      <c r="T15" s="31"/>
      <c r="U15" s="31"/>
    </row>
    <row r="16" spans="1:22" ht="12.75" customHeight="1">
      <c r="A16" s="151" t="s">
        <v>19</v>
      </c>
      <c r="B16" s="152"/>
      <c r="C16" s="152"/>
      <c r="D16" s="152"/>
      <c r="E16" s="152"/>
      <c r="F16" s="152"/>
      <c r="G16" s="152"/>
      <c r="H16" s="153"/>
      <c r="I16" s="99" t="s">
        <v>20</v>
      </c>
      <c r="J16" s="99"/>
      <c r="K16" s="99"/>
      <c r="L16" s="99"/>
      <c r="M16" s="99"/>
      <c r="N16" s="99"/>
      <c r="O16" s="99"/>
      <c r="P16" s="99"/>
    </row>
    <row r="17" spans="1:26" s="31" customFormat="1">
      <c r="A17" s="26" t="s">
        <v>21</v>
      </c>
      <c r="B17" s="27"/>
      <c r="C17" s="27"/>
      <c r="D17" s="27"/>
      <c r="E17" s="27"/>
      <c r="F17" s="27"/>
      <c r="G17" s="27"/>
      <c r="H17" s="28"/>
      <c r="I17" s="29" t="s">
        <v>22</v>
      </c>
      <c r="J17" s="27"/>
      <c r="K17" s="27"/>
      <c r="L17" s="27"/>
      <c r="M17" s="27"/>
      <c r="N17" s="27"/>
      <c r="O17" s="27"/>
      <c r="P17" s="30"/>
      <c r="R17" s="92" t="s">
        <v>107</v>
      </c>
      <c r="S17" s="92"/>
      <c r="T17" s="92"/>
      <c r="U17" s="92"/>
      <c r="V17"/>
    </row>
    <row r="18" spans="1:26" s="31" customFormat="1">
      <c r="A18" s="26" t="s">
        <v>104</v>
      </c>
      <c r="B18" s="27"/>
      <c r="C18" s="27"/>
      <c r="D18" s="27"/>
      <c r="E18" s="27"/>
      <c r="F18" s="27"/>
      <c r="G18" s="27"/>
      <c r="H18" s="28"/>
      <c r="I18" s="32" t="s">
        <v>94</v>
      </c>
      <c r="J18" s="27"/>
      <c r="K18" s="27"/>
      <c r="L18" s="27"/>
      <c r="M18" s="27"/>
      <c r="N18" s="27"/>
      <c r="O18" s="27"/>
      <c r="P18" s="30"/>
      <c r="R18" s="159" t="s">
        <v>98</v>
      </c>
      <c r="S18" s="160"/>
      <c r="T18" s="160"/>
      <c r="U18" s="160"/>
      <c r="V18"/>
      <c r="W18" s="92"/>
      <c r="X18" s="92"/>
      <c r="Y18" s="92"/>
      <c r="Z18" s="92"/>
    </row>
    <row r="19" spans="1:26" s="31" customFormat="1">
      <c r="A19" s="26"/>
      <c r="B19" s="27"/>
      <c r="C19" s="27"/>
      <c r="D19" s="27"/>
      <c r="E19" s="27"/>
      <c r="F19" s="27"/>
      <c r="G19" s="27"/>
      <c r="H19" s="28"/>
      <c r="I19" s="32" t="s">
        <v>105</v>
      </c>
      <c r="J19" s="27"/>
      <c r="K19" s="27"/>
      <c r="L19" s="116">
        <v>46024</v>
      </c>
      <c r="M19" s="116"/>
      <c r="N19" s="27"/>
      <c r="O19" s="27"/>
      <c r="P19" s="30"/>
    </row>
    <row r="20" spans="1:26">
      <c r="A20" s="26"/>
      <c r="B20" s="29"/>
      <c r="C20" s="29"/>
      <c r="D20" s="29"/>
      <c r="E20" s="29"/>
      <c r="F20" s="29"/>
      <c r="G20" s="29"/>
      <c r="H20" s="33"/>
      <c r="I20" s="29"/>
      <c r="J20" s="29"/>
      <c r="K20" s="29"/>
      <c r="L20" s="29"/>
      <c r="M20" s="29"/>
      <c r="N20" s="29"/>
      <c r="O20" s="29"/>
      <c r="P20" s="34"/>
      <c r="R20" s="68">
        <f ca="1">TODAY()</f>
        <v>45797</v>
      </c>
    </row>
    <row r="21" spans="1:26">
      <c r="A21" s="26"/>
      <c r="B21" s="29"/>
      <c r="C21" s="29"/>
      <c r="D21" s="29"/>
      <c r="E21" s="29"/>
      <c r="F21" s="29"/>
      <c r="G21" s="29"/>
      <c r="H21" s="33"/>
      <c r="I21" s="29"/>
      <c r="J21" s="29"/>
      <c r="K21" s="29"/>
      <c r="L21" s="29"/>
      <c r="M21" s="29"/>
      <c r="N21" s="29"/>
      <c r="O21" s="29"/>
      <c r="P21" s="34"/>
    </row>
    <row r="22" spans="1:26" ht="12.75" customHeight="1">
      <c r="A22" s="161" t="s">
        <v>120</v>
      </c>
      <c r="B22" s="162"/>
      <c r="C22" s="162"/>
      <c r="D22" s="162"/>
      <c r="E22" s="162"/>
      <c r="F22" s="162"/>
      <c r="G22" s="162"/>
      <c r="H22" s="162"/>
      <c r="I22" s="162"/>
      <c r="J22" s="162"/>
      <c r="K22" s="162"/>
      <c r="L22" s="162"/>
      <c r="M22" s="162"/>
      <c r="N22" s="162"/>
      <c r="O22" s="162"/>
      <c r="P22" s="163"/>
      <c r="R22" s="69">
        <v>48.2</v>
      </c>
      <c r="S22" s="69">
        <v>19.899999999999999</v>
      </c>
      <c r="T22" s="57"/>
    </row>
    <row r="23" spans="1:26">
      <c r="A23" s="164"/>
      <c r="B23" s="165"/>
      <c r="C23" s="165"/>
      <c r="D23" s="165"/>
      <c r="E23" s="165"/>
      <c r="F23" s="165"/>
      <c r="G23" s="165"/>
      <c r="H23" s="165"/>
      <c r="I23" s="165"/>
      <c r="J23" s="165"/>
      <c r="K23" s="165"/>
      <c r="L23" s="165"/>
      <c r="M23" s="165"/>
      <c r="N23" s="165"/>
      <c r="O23" s="165"/>
      <c r="P23" s="166"/>
      <c r="R23" s="69">
        <v>47.2</v>
      </c>
      <c r="S23" s="69">
        <v>19.8</v>
      </c>
    </row>
    <row r="24" spans="1:26" ht="12.75" customHeight="1">
      <c r="A24" s="90" t="s">
        <v>39</v>
      </c>
      <c r="B24" s="90"/>
      <c r="C24" s="90"/>
      <c r="D24" s="90"/>
      <c r="E24" s="91" t="s">
        <v>40</v>
      </c>
      <c r="F24" s="91"/>
      <c r="G24" s="91"/>
      <c r="H24" s="91" t="s">
        <v>41</v>
      </c>
      <c r="I24" s="91"/>
      <c r="J24" s="91"/>
      <c r="K24" s="91" t="s">
        <v>42</v>
      </c>
      <c r="L24" s="91"/>
      <c r="M24" s="91"/>
      <c r="N24" s="92" t="s">
        <v>92</v>
      </c>
      <c r="O24" s="92"/>
      <c r="P24" s="92"/>
      <c r="R24" s="69">
        <v>48.2</v>
      </c>
      <c r="S24" s="69">
        <v>19.899999999999999</v>
      </c>
    </row>
    <row r="25" spans="1:26">
      <c r="A25" s="90"/>
      <c r="B25" s="90"/>
      <c r="C25" s="90"/>
      <c r="D25" s="90"/>
      <c r="E25" s="91" t="s">
        <v>44</v>
      </c>
      <c r="F25" s="91"/>
      <c r="G25" s="91"/>
      <c r="H25" s="150">
        <f>+S25</f>
        <v>19.866666666666667</v>
      </c>
      <c r="I25" s="150"/>
      <c r="J25" s="150"/>
      <c r="K25" s="91" t="s">
        <v>44</v>
      </c>
      <c r="L25" s="91"/>
      <c r="M25" s="91"/>
      <c r="N25" s="158">
        <f>+R25/100</f>
        <v>0.47866666666666674</v>
      </c>
      <c r="O25" s="158"/>
      <c r="P25" s="158"/>
      <c r="R25" s="58">
        <f>AVERAGE(R22:R24)</f>
        <v>47.866666666666674</v>
      </c>
      <c r="S25" s="58">
        <f>AVERAGE(S22:S24)</f>
        <v>19.866666666666667</v>
      </c>
      <c r="T25" s="59"/>
      <c r="V25" s="29"/>
      <c r="W25" s="29"/>
    </row>
    <row r="26" spans="1:26">
      <c r="A26" s="6"/>
      <c r="O26" s="60"/>
      <c r="P26" s="9"/>
      <c r="V26" s="62"/>
      <c r="W26" s="62"/>
    </row>
    <row r="27" spans="1:26">
      <c r="A27" s="6"/>
      <c r="O27" s="60"/>
      <c r="P27" s="9"/>
      <c r="V27" s="62"/>
      <c r="W27" s="62"/>
    </row>
    <row r="28" spans="1:26">
      <c r="A28" s="6"/>
      <c r="O28" s="60"/>
      <c r="P28" s="9"/>
      <c r="V28" s="62"/>
      <c r="W28" s="62"/>
    </row>
    <row r="29" spans="1:26" ht="15" customHeight="1">
      <c r="A29" s="6"/>
      <c r="P29" s="9"/>
      <c r="V29" s="70"/>
      <c r="W29" s="70"/>
    </row>
    <row r="30" spans="1:26" s="29" customFormat="1" ht="17.25" customHeight="1">
      <c r="A30" s="44"/>
      <c r="B30" s="45"/>
      <c r="C30" s="93" t="s">
        <v>106</v>
      </c>
      <c r="D30" s="93"/>
      <c r="E30" s="93"/>
      <c r="F30" s="93"/>
      <c r="G30" s="93"/>
      <c r="H30" s="93"/>
      <c r="I30" s="93"/>
      <c r="J30" s="93"/>
      <c r="K30" s="93"/>
      <c r="L30" s="93"/>
      <c r="M30" s="93"/>
      <c r="N30" s="93"/>
      <c r="O30" s="45"/>
      <c r="P30" s="46"/>
    </row>
    <row r="31" spans="1:26" s="62" customFormat="1" ht="15" customHeight="1">
      <c r="A31" s="61"/>
      <c r="C31" s="119" t="s">
        <v>47</v>
      </c>
      <c r="D31" s="119"/>
      <c r="E31" s="119"/>
      <c r="F31" s="119" t="s">
        <v>48</v>
      </c>
      <c r="G31" s="119"/>
      <c r="H31" s="119"/>
      <c r="I31" s="119" t="s">
        <v>80</v>
      </c>
      <c r="J31" s="119"/>
      <c r="K31" s="119"/>
      <c r="L31" s="118" t="s">
        <v>81</v>
      </c>
      <c r="M31" s="118"/>
      <c r="N31" s="118"/>
      <c r="P31" s="63"/>
    </row>
    <row r="32" spans="1:26" s="62" customFormat="1" ht="15" customHeight="1" thickBot="1">
      <c r="A32" s="61"/>
      <c r="C32" s="119"/>
      <c r="D32" s="119"/>
      <c r="E32" s="119"/>
      <c r="F32" s="119"/>
      <c r="G32" s="119"/>
      <c r="H32" s="119"/>
      <c r="I32" s="119"/>
      <c r="J32" s="119"/>
      <c r="K32" s="119"/>
      <c r="L32" s="118"/>
      <c r="M32" s="118"/>
      <c r="N32" s="118"/>
      <c r="P32" s="64"/>
      <c r="S32" s="65"/>
      <c r="T32" s="49"/>
      <c r="V32" s="71"/>
      <c r="W32" s="71"/>
    </row>
    <row r="33" spans="1:25" s="29" customFormat="1" ht="24" customHeight="1" thickBot="1">
      <c r="A33" s="26"/>
      <c r="B33" s="27"/>
      <c r="C33" s="77" t="s">
        <v>82</v>
      </c>
      <c r="D33" s="77"/>
      <c r="E33" s="77"/>
      <c r="F33" s="86">
        <f>+N8</f>
        <v>31.2</v>
      </c>
      <c r="G33" s="86"/>
      <c r="H33" s="86"/>
      <c r="I33" s="117">
        <v>31.193000000000001</v>
      </c>
      <c r="J33" s="117"/>
      <c r="K33" s="117"/>
      <c r="L33" s="117">
        <v>31.190999999999999</v>
      </c>
      <c r="M33" s="117"/>
      <c r="N33" s="117"/>
      <c r="P33" s="34"/>
      <c r="R33" s="66">
        <f>I33-F33</f>
        <v>-6.9999999999978968E-3</v>
      </c>
      <c r="S33" s="66">
        <f>L33-F33</f>
        <v>-9.0000000000003411E-3</v>
      </c>
      <c r="T33" s="67"/>
    </row>
    <row r="34" spans="1:25" s="29" customFormat="1" ht="24" customHeight="1" thickBot="1">
      <c r="A34" s="26"/>
      <c r="B34" s="27"/>
      <c r="C34" s="77" t="s">
        <v>83</v>
      </c>
      <c r="D34" s="77"/>
      <c r="E34" s="77"/>
      <c r="F34" s="86">
        <f>+P8</f>
        <v>30.8</v>
      </c>
      <c r="G34" s="86"/>
      <c r="H34" s="86"/>
      <c r="I34" s="117">
        <v>30.800999999999998</v>
      </c>
      <c r="J34" s="117"/>
      <c r="K34" s="117"/>
      <c r="L34" s="117">
        <v>30.8</v>
      </c>
      <c r="M34" s="117"/>
      <c r="N34" s="117"/>
      <c r="P34" s="34"/>
      <c r="R34" s="66">
        <f>I34-F34</f>
        <v>9.9999999999766942E-4</v>
      </c>
      <c r="S34" s="66">
        <f>L34-F34</f>
        <v>0</v>
      </c>
      <c r="V34" s="62"/>
      <c r="W34" s="62"/>
    </row>
    <row r="35" spans="1:25">
      <c r="A35" s="6"/>
      <c r="C35" s="104" t="s">
        <v>127</v>
      </c>
      <c r="D35" s="105"/>
      <c r="E35" s="105"/>
      <c r="F35" s="105"/>
      <c r="G35" s="105"/>
      <c r="H35" s="105"/>
      <c r="I35" s="105"/>
      <c r="J35" s="105"/>
      <c r="K35" s="105"/>
      <c r="L35" s="105"/>
      <c r="M35" s="105"/>
      <c r="N35" s="106"/>
      <c r="P35" s="9"/>
    </row>
    <row r="36" spans="1:25" ht="15" customHeight="1">
      <c r="A36" s="6"/>
      <c r="C36" s="107"/>
      <c r="D36" s="108"/>
      <c r="E36" s="108"/>
      <c r="F36" s="108"/>
      <c r="G36" s="108"/>
      <c r="H36" s="108"/>
      <c r="I36" s="108"/>
      <c r="J36" s="108"/>
      <c r="K36" s="108"/>
      <c r="L36" s="108"/>
      <c r="M36" s="108"/>
      <c r="N36" s="109"/>
      <c r="P36" s="9"/>
      <c r="R36" s="29" t="s">
        <v>84</v>
      </c>
      <c r="Y36" s="59"/>
    </row>
    <row r="37" spans="1:25">
      <c r="A37" s="6"/>
      <c r="P37" s="9"/>
      <c r="R37" s="29" t="s">
        <v>85</v>
      </c>
      <c r="Y37" s="59"/>
    </row>
    <row r="38" spans="1:25">
      <c r="A38" s="6"/>
      <c r="P38" s="9"/>
      <c r="R38" s="29"/>
      <c r="Y38" s="59"/>
    </row>
    <row r="39" spans="1:25">
      <c r="A39" s="6"/>
      <c r="P39" s="9"/>
      <c r="R39" s="29"/>
      <c r="Y39" s="59"/>
    </row>
    <row r="40" spans="1:25">
      <c r="A40" s="6"/>
      <c r="C40" s="11"/>
      <c r="D40" s="11"/>
      <c r="E40" s="11"/>
      <c r="F40" s="11"/>
      <c r="G40" s="11"/>
      <c r="H40" s="11"/>
      <c r="I40" s="11"/>
      <c r="J40" s="11"/>
      <c r="K40" s="11"/>
      <c r="L40" s="11"/>
      <c r="M40" s="11"/>
      <c r="N40" s="11"/>
      <c r="P40" s="9"/>
      <c r="S40" t="s">
        <v>86</v>
      </c>
      <c r="Y40" s="59"/>
    </row>
    <row r="41" spans="1:25" s="29" customFormat="1" ht="21" customHeight="1">
      <c r="A41" s="112"/>
      <c r="B41" s="112"/>
      <c r="C41" s="80" t="s">
        <v>61</v>
      </c>
      <c r="D41" s="80"/>
      <c r="E41" s="80"/>
      <c r="F41" s="80"/>
      <c r="G41" s="113"/>
      <c r="H41" s="114"/>
      <c r="I41" s="80" t="s">
        <v>115</v>
      </c>
      <c r="J41" s="80"/>
      <c r="K41" s="80"/>
      <c r="L41" s="77"/>
      <c r="M41" s="77"/>
      <c r="N41" s="77"/>
      <c r="O41" s="115"/>
      <c r="P41" s="115"/>
      <c r="S41" s="29" t="s">
        <v>87</v>
      </c>
    </row>
    <row r="42" spans="1:25" s="29" customFormat="1" ht="21" customHeight="1">
      <c r="A42" s="112"/>
      <c r="B42" s="112"/>
      <c r="C42" s="76" t="s">
        <v>64</v>
      </c>
      <c r="D42" s="76"/>
      <c r="E42" s="76"/>
      <c r="F42" s="77" t="s">
        <v>102</v>
      </c>
      <c r="G42" s="77"/>
      <c r="H42" s="77"/>
      <c r="I42" s="76" t="s">
        <v>64</v>
      </c>
      <c r="J42" s="76"/>
      <c r="K42" s="76"/>
      <c r="L42" s="77" t="s">
        <v>63</v>
      </c>
      <c r="M42" s="77"/>
      <c r="N42" s="77"/>
      <c r="O42" s="115"/>
      <c r="P42" s="115"/>
      <c r="R42" s="77" t="s">
        <v>60</v>
      </c>
      <c r="S42" s="77"/>
      <c r="T42" s="77"/>
      <c r="U42"/>
      <c r="V42"/>
    </row>
    <row r="43" spans="1:25" ht="12.75" customHeight="1">
      <c r="A43" s="39" t="s">
        <v>88</v>
      </c>
      <c r="B43" s="42"/>
      <c r="C43" s="42"/>
      <c r="D43" s="42"/>
      <c r="E43" s="42"/>
      <c r="F43" s="42"/>
      <c r="G43" s="42"/>
      <c r="H43" s="42"/>
      <c r="I43" s="42"/>
      <c r="J43" s="42"/>
      <c r="K43" s="42"/>
      <c r="L43" s="42"/>
      <c r="M43" s="42"/>
      <c r="N43" s="42"/>
      <c r="O43" s="42"/>
      <c r="P43" s="43"/>
      <c r="R43" s="77" t="s">
        <v>63</v>
      </c>
      <c r="S43" s="77"/>
      <c r="T43" s="77"/>
    </row>
    <row r="44" spans="1:25">
      <c r="A44" s="26" t="s">
        <v>89</v>
      </c>
      <c r="C44" s="62"/>
      <c r="D44" s="62"/>
      <c r="E44" s="62"/>
      <c r="F44" s="62"/>
      <c r="G44" s="62"/>
      <c r="H44" s="62"/>
      <c r="I44" s="62"/>
      <c r="J44" s="62"/>
      <c r="K44" s="62"/>
      <c r="L44" s="62"/>
      <c r="M44" s="62"/>
      <c r="N44" s="62"/>
      <c r="O44" s="62"/>
      <c r="P44" s="64"/>
      <c r="R44" s="77" t="s">
        <v>66</v>
      </c>
      <c r="S44" s="77"/>
      <c r="T44" s="77"/>
    </row>
    <row r="45" spans="1:25">
      <c r="A45" s="111" t="s">
        <v>99</v>
      </c>
      <c r="B45" s="111"/>
      <c r="C45" s="111"/>
      <c r="D45" s="111"/>
      <c r="E45" s="111"/>
      <c r="F45" s="111"/>
      <c r="G45" s="111"/>
      <c r="H45" s="111"/>
      <c r="I45" s="111"/>
      <c r="J45" s="111"/>
      <c r="K45" s="111"/>
      <c r="L45" s="111"/>
      <c r="M45" s="111"/>
      <c r="N45" s="111"/>
      <c r="O45" s="111"/>
      <c r="P45" s="111"/>
      <c r="R45" s="77" t="s">
        <v>108</v>
      </c>
      <c r="S45" s="77"/>
      <c r="T45" s="77"/>
    </row>
    <row r="46" spans="1:25">
      <c r="A46" s="89" t="s">
        <v>90</v>
      </c>
      <c r="B46" s="89"/>
      <c r="C46" s="89"/>
      <c r="D46" s="89"/>
      <c r="E46" s="89"/>
      <c r="F46" s="89"/>
      <c r="G46" s="89"/>
      <c r="H46" s="89"/>
      <c r="I46" s="89"/>
      <c r="J46" s="89"/>
      <c r="K46" s="89"/>
      <c r="L46" s="89"/>
      <c r="M46" s="89"/>
      <c r="N46" s="89"/>
      <c r="O46" s="89"/>
      <c r="P46" s="89"/>
      <c r="Q46" s="31"/>
      <c r="R46" s="77" t="s">
        <v>101</v>
      </c>
      <c r="S46" s="77"/>
      <c r="T46" s="77"/>
    </row>
    <row r="47" spans="1:25" ht="12.75" customHeight="1">
      <c r="A47" s="78" t="s">
        <v>122</v>
      </c>
      <c r="B47" s="78"/>
      <c r="C47" s="78"/>
      <c r="D47" s="78"/>
      <c r="E47" s="78"/>
      <c r="F47" s="78"/>
      <c r="G47" s="78"/>
      <c r="H47" s="78"/>
      <c r="I47" s="78"/>
      <c r="J47" s="78"/>
      <c r="K47" s="78"/>
      <c r="L47" s="78"/>
      <c r="M47" s="78"/>
      <c r="N47" s="78"/>
      <c r="O47" s="78"/>
      <c r="P47" s="78"/>
      <c r="R47" s="77" t="s">
        <v>69</v>
      </c>
      <c r="S47" s="77"/>
      <c r="T47" s="77"/>
    </row>
    <row r="48" spans="1:25" ht="12.75" customHeight="1">
      <c r="A48" s="79" t="s">
        <v>91</v>
      </c>
      <c r="B48" s="79"/>
      <c r="C48" s="79"/>
      <c r="D48" s="79"/>
      <c r="E48" s="79"/>
      <c r="F48" s="79"/>
      <c r="G48" s="79"/>
      <c r="H48" s="79"/>
      <c r="I48" s="79"/>
      <c r="J48" s="79"/>
      <c r="K48" s="79"/>
      <c r="L48" s="79"/>
      <c r="M48" s="79"/>
      <c r="N48" s="79"/>
      <c r="O48" s="79"/>
      <c r="P48" s="79"/>
      <c r="R48" s="77" t="s">
        <v>102</v>
      </c>
      <c r="S48" s="77"/>
      <c r="T48" s="77"/>
    </row>
    <row r="49" spans="1:16">
      <c r="A49" s="79" t="s">
        <v>73</v>
      </c>
      <c r="B49" s="79"/>
      <c r="C49" s="79"/>
      <c r="D49" s="79"/>
      <c r="E49" s="79"/>
      <c r="F49" s="79"/>
      <c r="G49" s="79"/>
      <c r="H49" s="79"/>
      <c r="I49" s="79"/>
      <c r="J49" s="79"/>
      <c r="K49" s="79"/>
      <c r="L49" s="79"/>
      <c r="M49" s="79"/>
      <c r="N49" s="79"/>
      <c r="O49" s="79"/>
      <c r="P49" s="79"/>
    </row>
    <row r="50" spans="1:16">
      <c r="A50" s="79" t="s">
        <v>96</v>
      </c>
      <c r="B50" s="79"/>
      <c r="C50" s="79"/>
      <c r="D50" s="79"/>
      <c r="E50" s="79"/>
      <c r="F50" s="79"/>
      <c r="G50" s="79"/>
      <c r="H50" s="79"/>
      <c r="I50" s="79"/>
      <c r="J50" s="79"/>
      <c r="K50" s="79"/>
      <c r="L50" s="79"/>
      <c r="M50" s="79"/>
      <c r="N50" s="79"/>
      <c r="O50" s="79"/>
      <c r="P50" s="79"/>
    </row>
    <row r="51" spans="1:16" ht="12" customHeight="1" thickBot="1">
      <c r="A51" s="110"/>
      <c r="B51" s="110"/>
      <c r="C51" s="110"/>
      <c r="D51" s="110"/>
      <c r="E51" s="110"/>
      <c r="F51" s="110"/>
      <c r="G51" s="110"/>
      <c r="H51" s="110"/>
      <c r="I51" s="110"/>
      <c r="J51" s="110"/>
      <c r="K51" s="110"/>
      <c r="L51" s="110"/>
      <c r="M51" s="110"/>
      <c r="N51" s="110"/>
      <c r="O51" s="110"/>
      <c r="P51" s="110"/>
    </row>
    <row r="52" spans="1:16" ht="15" customHeight="1">
      <c r="A52" s="149" t="s">
        <v>116</v>
      </c>
      <c r="B52" s="149"/>
      <c r="C52" s="149"/>
      <c r="D52" s="149"/>
      <c r="E52" s="149"/>
      <c r="F52" s="149"/>
      <c r="G52" s="149"/>
      <c r="H52" s="149"/>
      <c r="I52" s="149"/>
      <c r="J52" s="149"/>
      <c r="K52" s="149"/>
      <c r="L52" s="149"/>
      <c r="M52" s="149"/>
      <c r="N52" s="149"/>
      <c r="O52" s="149"/>
      <c r="P52" s="149"/>
    </row>
  </sheetData>
  <protectedRanges>
    <protectedRange sqref="A7 M6:P7 M9:P14 E12:H13 R5:U14 R22:S24 R36:R39 S40:S41 R42:T48 F42 L42 A46" name="Range1"/>
    <protectedRange sqref="N8 P8" name="Range1_1_1"/>
    <protectedRange sqref="I33:N34" name="Range1_5"/>
  </protectedRanges>
  <mergeCells count="86">
    <mergeCell ref="C30:N30"/>
    <mergeCell ref="A24:D25"/>
    <mergeCell ref="E24:G24"/>
    <mergeCell ref="R18:U18"/>
    <mergeCell ref="R17:U17"/>
    <mergeCell ref="A22:P23"/>
    <mergeCell ref="R14:U14"/>
    <mergeCell ref="A52:P52"/>
    <mergeCell ref="E14:H14"/>
    <mergeCell ref="E15:H15"/>
    <mergeCell ref="A14:D14"/>
    <mergeCell ref="A15:D15"/>
    <mergeCell ref="E25:G25"/>
    <mergeCell ref="H25:J25"/>
    <mergeCell ref="A16:H16"/>
    <mergeCell ref="I15:L15"/>
    <mergeCell ref="M15:P15"/>
    <mergeCell ref="N24:P24"/>
    <mergeCell ref="I16:P16"/>
    <mergeCell ref="M14:P14"/>
    <mergeCell ref="K25:M25"/>
    <mergeCell ref="N25:P25"/>
    <mergeCell ref="T2:V2"/>
    <mergeCell ref="N3:P3"/>
    <mergeCell ref="M6:P6"/>
    <mergeCell ref="R12:U12"/>
    <mergeCell ref="R8:U8"/>
    <mergeCell ref="R4:U4"/>
    <mergeCell ref="R7:U7"/>
    <mergeCell ref="M9:P9"/>
    <mergeCell ref="R9:U9"/>
    <mergeCell ref="M11:P11"/>
    <mergeCell ref="R5:U5"/>
    <mergeCell ref="M10:P10"/>
    <mergeCell ref="R10:U10"/>
    <mergeCell ref="R6:U6"/>
    <mergeCell ref="R11:U11"/>
    <mergeCell ref="A1:M5"/>
    <mergeCell ref="M12:P12"/>
    <mergeCell ref="M7:P7"/>
    <mergeCell ref="E13:H13"/>
    <mergeCell ref="M13:P13"/>
    <mergeCell ref="A13:D13"/>
    <mergeCell ref="A12:D12"/>
    <mergeCell ref="E12:H12"/>
    <mergeCell ref="R42:T42"/>
    <mergeCell ref="C34:E34"/>
    <mergeCell ref="L19:M19"/>
    <mergeCell ref="L34:N34"/>
    <mergeCell ref="F34:H34"/>
    <mergeCell ref="I34:K34"/>
    <mergeCell ref="C33:E33"/>
    <mergeCell ref="F33:H33"/>
    <mergeCell ref="I33:K33"/>
    <mergeCell ref="K24:M24"/>
    <mergeCell ref="L33:N33"/>
    <mergeCell ref="L31:N32"/>
    <mergeCell ref="I31:K32"/>
    <mergeCell ref="C31:E32"/>
    <mergeCell ref="F31:H32"/>
    <mergeCell ref="H24:J24"/>
    <mergeCell ref="A41:B42"/>
    <mergeCell ref="C41:E41"/>
    <mergeCell ref="F41:H41"/>
    <mergeCell ref="I41:K41"/>
    <mergeCell ref="O41:P42"/>
    <mergeCell ref="C42:E42"/>
    <mergeCell ref="F42:H42"/>
    <mergeCell ref="I42:K42"/>
    <mergeCell ref="L42:N42"/>
    <mergeCell ref="C35:N36"/>
    <mergeCell ref="W18:Z18"/>
    <mergeCell ref="A51:P51"/>
    <mergeCell ref="R43:T43"/>
    <mergeCell ref="R44:T44"/>
    <mergeCell ref="A45:P45"/>
    <mergeCell ref="R45:T45"/>
    <mergeCell ref="A46:P46"/>
    <mergeCell ref="A50:P50"/>
    <mergeCell ref="R46:T46"/>
    <mergeCell ref="A49:P49"/>
    <mergeCell ref="A48:P48"/>
    <mergeCell ref="R48:T48"/>
    <mergeCell ref="L41:N41"/>
    <mergeCell ref="A47:P47"/>
    <mergeCell ref="R47:T47"/>
  </mergeCells>
  <phoneticPr fontId="0" type="noConversion"/>
  <conditionalFormatting sqref="E12:H12">
    <cfRule type="cellIs" dxfId="22" priority="33" operator="lessThan">
      <formula>$M$10-6</formula>
    </cfRule>
    <cfRule type="cellIs" dxfId="21" priority="34" operator="greaterThan">
      <formula>$M$10</formula>
    </cfRule>
  </conditionalFormatting>
  <conditionalFormatting sqref="H25:J25">
    <cfRule type="cellIs" dxfId="20" priority="26" operator="lessThan">
      <formula>18.5</formula>
    </cfRule>
    <cfRule type="cellIs" dxfId="19" priority="27" operator="greaterThan">
      <formula>21.5</formula>
    </cfRule>
  </conditionalFormatting>
  <conditionalFormatting sqref="I34:K34">
    <cfRule type="cellIs" dxfId="18" priority="4" stopIfTrue="1" operator="lessThan">
      <formula>$L$34</formula>
    </cfRule>
  </conditionalFormatting>
  <conditionalFormatting sqref="I33:N33">
    <cfRule type="cellIs" dxfId="17" priority="5" stopIfTrue="1" operator="lessThan">
      <formula>$F$33-0.015</formula>
    </cfRule>
    <cfRule type="cellIs" dxfId="16" priority="6" stopIfTrue="1" operator="greaterThan">
      <formula>$F$33+0.01</formula>
    </cfRule>
    <cfRule type="cellIs" dxfId="15" priority="7" stopIfTrue="1" operator="lessThan">
      <formula>$L$33</formula>
    </cfRule>
  </conditionalFormatting>
  <conditionalFormatting sqref="I34:N34">
    <cfRule type="cellIs" dxfId="14" priority="2" stopIfTrue="1" operator="lessThan">
      <formula>$F$34-0.01</formula>
    </cfRule>
    <cfRule type="cellIs" dxfId="13" priority="3" stopIfTrue="1" operator="greaterThan">
      <formula>$F$34+0.005</formula>
    </cfRule>
  </conditionalFormatting>
  <conditionalFormatting sqref="L19:M19">
    <cfRule type="cellIs" dxfId="12" priority="49" stopIfTrue="1" operator="between">
      <formula>$R$20</formula>
      <formula>$R$20+7</formula>
    </cfRule>
    <cfRule type="cellIs" dxfId="11" priority="50" stopIfTrue="1" operator="lessThan">
      <formula>$R$20</formula>
    </cfRule>
  </conditionalFormatting>
  <conditionalFormatting sqref="L34:N34">
    <cfRule type="cellIs" dxfId="10" priority="1" stopIfTrue="1" operator="lessThan">
      <formula>$L$34</formula>
    </cfRule>
  </conditionalFormatting>
  <conditionalFormatting sqref="M10:P10">
    <cfRule type="cellIs" dxfId="9" priority="36" operator="greaterThan">
      <formula>$R$20</formula>
    </cfRule>
  </conditionalFormatting>
  <conditionalFormatting sqref="M10:P11">
    <cfRule type="cellIs" dxfId="8" priority="35" operator="lessThan">
      <formula>$R$20-15</formula>
    </cfRule>
  </conditionalFormatting>
  <conditionalFormatting sqref="M11:P11">
    <cfRule type="cellIs" dxfId="7" priority="38" operator="greaterThan">
      <formula>$M$10+6</formula>
    </cfRule>
    <cfRule type="cellIs" dxfId="6" priority="39" operator="lessThan">
      <formula>$M$10</formula>
    </cfRule>
    <cfRule type="cellIs" dxfId="5" priority="40" operator="greaterThan">
      <formula>$R$20</formula>
    </cfRule>
  </conditionalFormatting>
  <conditionalFormatting sqref="M13:P13">
    <cfRule type="expression" dxfId="4" priority="43">
      <formula>LEN($M$13)&lt;14</formula>
    </cfRule>
    <cfRule type="expression" dxfId="3" priority="44">
      <formula>LEN($M$13)&gt;14</formula>
    </cfRule>
  </conditionalFormatting>
  <conditionalFormatting sqref="N8">
    <cfRule type="cellIs" dxfId="2" priority="15" stopIfTrue="1" operator="lessThan">
      <formula>$P$8</formula>
    </cfRule>
  </conditionalFormatting>
  <conditionalFormatting sqref="N25:P25">
    <cfRule type="cellIs" dxfId="1" priority="24" operator="lessThan">
      <formula>0.4</formula>
    </cfRule>
    <cfRule type="cellIs" dxfId="0" priority="25" operator="greaterThan">
      <formula>0.6</formula>
    </cfRule>
  </conditionalFormatting>
  <pageMargins left="0.23622047244094491" right="0.19685039370078741" top="0.94488188976377963" bottom="0.55118110236220474" header="0.31496062992125984" footer="0.31496062992125984"/>
  <pageSetup paperSize="9" scale="92" firstPageNumber="0" orientation="portrait" r:id="rId1"/>
  <headerFooter alignWithMargins="0">
    <oddFooter>&amp;CPage 01 of 01&amp;RLAB/F/25A  Rev:03</oddFooter>
  </headerFooter>
  <colBreaks count="1" manualBreakCount="1">
    <brk id="16" max="1048575" man="1"/>
  </col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6" baseType="variant">
      <vt:variant>
        <vt:lpstr>Worksheets</vt:lpstr>
      </vt:variant>
      <vt:variant>
        <vt:i4>2</vt:i4>
      </vt:variant>
      <vt:variant>
        <vt:lpstr>Charts</vt:lpstr>
      </vt:variant>
      <vt:variant>
        <vt:i4>5</vt:i4>
      </vt:variant>
      <vt:variant>
        <vt:lpstr>Named Ranges</vt:lpstr>
      </vt:variant>
      <vt:variant>
        <vt:i4>1</vt:i4>
      </vt:variant>
    </vt:vector>
  </HeadingPairs>
  <TitlesOfParts>
    <vt:vector size="8" baseType="lpstr">
      <vt:lpstr>PP (T)</vt:lpstr>
      <vt:lpstr>PPG (R)</vt:lpstr>
      <vt:lpstr>Chart1</vt:lpstr>
      <vt:lpstr>Chart2</vt:lpstr>
      <vt:lpstr>Chart3</vt:lpstr>
      <vt:lpstr>Chart4</vt:lpstr>
      <vt:lpstr>Chart5</vt:lpstr>
      <vt:lpstr>'PPG (R)'!Print_Area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SANSERA</dc:creator>
  <cp:lastModifiedBy>Manjesh B M</cp:lastModifiedBy>
  <cp:lastPrinted>2025-05-20T15:35:23Z</cp:lastPrinted>
  <dcterms:created xsi:type="dcterms:W3CDTF">2019-01-30T11:20:19Z</dcterms:created>
  <dcterms:modified xsi:type="dcterms:W3CDTF">2025-05-20T15:41:50Z</dcterms:modified>
</cp:coreProperties>
</file>