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INP02CMMWD004\LAB Working DIR\Calibration Reports\New Formats (Rev-06)\Vernier Caliper\"/>
    </mc:Choice>
  </mc:AlternateContent>
  <bookViews>
    <workbookView xWindow="-120" yWindow="-120" windowWidth="29040" windowHeight="15720" tabRatio="570" firstSheet="1" activeTab="1"/>
  </bookViews>
  <sheets>
    <sheet name="Chart1" sheetId="3" state="hidden" r:id="rId1"/>
    <sheet name="VC (0-150)" sheetId="2" r:id="rId2"/>
  </sheets>
  <definedNames>
    <definedName name="_xlnm.Print_Area" localSheetId="1">'VC (0-150)'!$A$1:$P$62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R20" i="2"/>
  <c r="I37" i="2" l="1"/>
  <c r="H47" i="2" l="1"/>
  <c r="I42" i="2" l="1"/>
  <c r="Q12" i="2" l="1"/>
  <c r="Q13" i="2"/>
  <c r="S27" i="2"/>
  <c r="N29" i="2" s="1"/>
  <c r="R27" i="2"/>
  <c r="H29" i="2" s="1"/>
  <c r="J47" i="2" l="1"/>
  <c r="I47" i="2"/>
  <c r="M42" i="2"/>
  <c r="L42" i="2"/>
  <c r="K42" i="2"/>
  <c r="J42" i="2"/>
  <c r="Q15" i="2" l="1"/>
  <c r="J37" i="2"/>
  <c r="K37" i="2"/>
  <c r="L37" i="2"/>
  <c r="M37" i="2"/>
</calcChain>
</file>

<file path=xl/sharedStrings.xml><?xml version="1.0" encoding="utf-8"?>
<sst xmlns="http://schemas.openxmlformats.org/spreadsheetml/2006/main" count="105" uniqueCount="92">
  <si>
    <t>CALIBRATION CERTIFICATE</t>
  </si>
  <si>
    <t>PLANT 2</t>
  </si>
  <si>
    <t>CUSTOMER</t>
  </si>
  <si>
    <t>INSTRUMENT</t>
  </si>
  <si>
    <t>MAKE</t>
  </si>
  <si>
    <t>MITUTOYO</t>
  </si>
  <si>
    <t>RANGE /LC</t>
  </si>
  <si>
    <t>0-150 / 0.01mm</t>
  </si>
  <si>
    <t>DATE OF CALIBRATION</t>
  </si>
  <si>
    <t>INSIZE</t>
  </si>
  <si>
    <t>SANSERA LAB ID NO</t>
  </si>
  <si>
    <t>CUSTOMER'  REFERENCE</t>
  </si>
  <si>
    <r>
      <t xml:space="preserve">          </t>
    </r>
    <r>
      <rPr>
        <b/>
        <u/>
        <sz val="10"/>
        <rFont val="Arial"/>
        <family val="2"/>
      </rPr>
      <t xml:space="preserve"> MASTER EQUIPMENT DETAILS</t>
    </r>
  </si>
  <si>
    <r>
      <t xml:space="preserve">         </t>
    </r>
    <r>
      <rPr>
        <b/>
        <u/>
        <sz val="10"/>
        <rFont val="Arial"/>
        <family val="2"/>
      </rPr>
      <t>TRACEABILITY</t>
    </r>
  </si>
  <si>
    <t xml:space="preserve">1)Traceable to National Standards through NABL </t>
  </si>
  <si>
    <t>Accreditation Lab. No:CC-2102 Vide Certificate No:</t>
  </si>
  <si>
    <r>
      <t>CALIBRATION PROCEDURE :</t>
    </r>
    <r>
      <rPr>
        <sz val="10"/>
        <rFont val="Arial"/>
        <family val="2"/>
      </rPr>
      <t xml:space="preserve">Expression of  instrument error was done on different steps of Step gauge (Caliper checker) </t>
    </r>
  </si>
  <si>
    <t>ENVIRONMENTAL                                   CONDITIONS</t>
  </si>
  <si>
    <t xml:space="preserve">TEMP </t>
  </si>
  <si>
    <t>20 ± 2° C</t>
  </si>
  <si>
    <t>RH</t>
  </si>
  <si>
    <t>ACTUAL</t>
  </si>
  <si>
    <t>Calibrated By</t>
  </si>
  <si>
    <t>Name</t>
  </si>
  <si>
    <t>Balachandar M.</t>
  </si>
  <si>
    <t>Sivasubramaniam S.</t>
  </si>
  <si>
    <r>
      <t xml:space="preserve">      NOTE :</t>
    </r>
    <r>
      <rPr>
        <sz val="10"/>
        <rFont val="Arial"/>
        <family val="2"/>
      </rPr>
      <t xml:space="preserve">1)The results given in Calibration Certificate are valid only to the particular instrument submitted for calibration </t>
    </r>
  </si>
  <si>
    <t xml:space="preserve">      under the above stated condition, certificate shall not be reproduced with out the written permission of the Laboratory</t>
  </si>
  <si>
    <t>Manjesha B.M.</t>
  </si>
  <si>
    <t xml:space="preserve">                  2) Calibration Results are in mm</t>
  </si>
  <si>
    <t>Gopi V.</t>
  </si>
  <si>
    <t xml:space="preserve"> Ph:080-7833442 / 7833056 / 7835461-64, Fax : 080-7833642</t>
  </si>
  <si>
    <t xml:space="preserve">50 ± 10% </t>
  </si>
  <si>
    <t>SLIP SIZE</t>
  </si>
  <si>
    <r>
      <t xml:space="preserve">   </t>
    </r>
    <r>
      <rPr>
        <b/>
        <u/>
        <sz val="10"/>
        <rFont val="Arial"/>
        <family val="2"/>
      </rPr>
      <t>NOTE</t>
    </r>
    <r>
      <rPr>
        <b/>
        <sz val="10"/>
        <rFont val="Arial"/>
        <family val="2"/>
      </rPr>
      <t xml:space="preserve"> : *Dents Observed on the edge of the Internal Jaws</t>
    </r>
  </si>
  <si>
    <r>
      <t xml:space="preserve">               </t>
    </r>
    <r>
      <rPr>
        <b/>
        <sz val="10"/>
        <rFont val="Arial"/>
        <family val="2"/>
      </rPr>
      <t>*Parallelism Error of Internal Measuring Faces was Measured by Leaving 3mm from edge.</t>
    </r>
  </si>
  <si>
    <r>
      <t xml:space="preserve">   *</t>
    </r>
    <r>
      <rPr>
        <b/>
        <u/>
        <sz val="10"/>
        <rFont val="Arial"/>
        <family val="2"/>
      </rPr>
      <t>NOTE</t>
    </r>
    <r>
      <rPr>
        <b/>
        <sz val="10"/>
        <rFont val="Arial"/>
        <family val="2"/>
      </rPr>
      <t xml:space="preserve"> : Display Problem found on 150mm Range so not Calibrated at 150mm range.</t>
    </r>
  </si>
  <si>
    <t>3)Condition of the MI / Gauges as Received.: Found OK</t>
  </si>
  <si>
    <t xml:space="preserve">                  4) Parallelism of External jaws &amp; Internal jaws was not measured due to non availability of locking Device</t>
  </si>
  <si>
    <t xml:space="preserve">                  3)Condition of the MI / Gauges as Received.: Found OK  </t>
  </si>
  <si>
    <t>ULR NO</t>
  </si>
  <si>
    <t>3) MASTER GAUGE BLOCKS SET Make : Mikronix Code:</t>
  </si>
  <si>
    <t xml:space="preserve">3)Traceable to National Standards through NABL </t>
  </si>
  <si>
    <t>E-mail id  :  calib@sansera.in , Nabl_calib@sansera.in</t>
  </si>
  <si>
    <t>Code:CC:10003442 (Calibrated at In house Lab)</t>
  </si>
  <si>
    <t>1)STEEL CALIPER CHECKER(0-300mm) Make :Mikronix</t>
  </si>
  <si>
    <t>Accreditation Lab. No:CC-2399 Vide Certificate No:</t>
  </si>
  <si>
    <t>OBSERVED READING</t>
  </si>
  <si>
    <t>ERROR</t>
  </si>
  <si>
    <t>Dy. Lab In Charge</t>
  </si>
  <si>
    <t xml:space="preserve">   C) INSTRUMENTAL ERROR OF EXTERNAL MEASUREMENT:</t>
  </si>
  <si>
    <t xml:space="preserve">   D) INSTRUMENTAL ERROR OF INTERNAL MEASUREMENT:</t>
  </si>
  <si>
    <t xml:space="preserve">   E) INSTRUMENTAL ERROR OF DEPTH  MEASUREMENT    :</t>
  </si>
  <si>
    <t>24.02.21</t>
  </si>
  <si>
    <t>02.06.21</t>
  </si>
  <si>
    <t>15.07.21</t>
  </si>
  <si>
    <t>MAHR</t>
  </si>
  <si>
    <t>TESPA</t>
  </si>
  <si>
    <t>2) MASTER GAUGE BLOCKS SET Make : Mikronix Code:</t>
  </si>
  <si>
    <t>SGB-10034704 (Calibrated at Mikronix Lab Aurangabad)</t>
  </si>
  <si>
    <t>DATE OF ISSUE</t>
  </si>
  <si>
    <t>Uday.</t>
  </si>
  <si>
    <t>This Method is based on IS:16491(PART-1)-2016 As per SWI/LAB/013</t>
  </si>
  <si>
    <t>Mahadevappa.</t>
  </si>
  <si>
    <t xml:space="preserve">2)Traceable to National Standards through NABL </t>
  </si>
  <si>
    <t>SAN/23/02/2158 Valid up to 16-02-2025</t>
  </si>
  <si>
    <t>261/C, Bommasandra Industrial Area, Hebbagodi Post, Anekal Taluk, Bangalore -560 099</t>
  </si>
  <si>
    <t xml:space="preserve">SG 3821 Valid up to </t>
  </si>
  <si>
    <t>Byresha B.S</t>
  </si>
  <si>
    <t>SGB-10073420 (Calibrated at Mikronix Lab Aurangabad)</t>
  </si>
  <si>
    <t xml:space="preserve">SG 4109 Valid up to </t>
  </si>
  <si>
    <t>DATE OF RECEIPT</t>
  </si>
  <si>
    <t>DECIPLINE</t>
  </si>
  <si>
    <t>MECHANICAL DIMENSION</t>
  </si>
  <si>
    <t>GROUP</t>
  </si>
  <si>
    <t>BASIC INSTRUMENT &amp; GAUGE</t>
  </si>
  <si>
    <t xml:space="preserve">INSTRUMENT CODE </t>
  </si>
  <si>
    <t>CERTIFICATE NO</t>
  </si>
  <si>
    <t>PLACE OF CALIBRATION</t>
  </si>
  <si>
    <t>METROLOGY LAB</t>
  </si>
  <si>
    <r>
      <rPr>
        <b/>
        <sz val="10"/>
        <rFont val="Arial"/>
        <family val="2"/>
      </rPr>
      <t>EXPANDED UNCERTAINTY</t>
    </r>
    <r>
      <rPr>
        <sz val="10"/>
        <rFont val="Arial"/>
        <family val="2"/>
      </rPr>
      <t xml:space="preserve"> : ±13.0µm  ( The uncertainty of measurement is expressed at
                          95.45% Confidence with coverage factor K-2)</t>
    </r>
  </si>
  <si>
    <t>***End of Certificate***</t>
  </si>
  <si>
    <t>Authorized By</t>
  </si>
  <si>
    <t xml:space="preserve">   A) PARALLELISM OF EXTERNAL MEASURING FACES AT 10mm  :</t>
  </si>
  <si>
    <t xml:space="preserve">   B) PARALLELISM OF INTERNAL  MEASURING FACES AT 16mm  :</t>
  </si>
  <si>
    <t>DIGITAL CALIPER</t>
  </si>
  <si>
    <t>METROLOGY LABORATORY, SANSERA ENGINEERING  LTD.</t>
  </si>
  <si>
    <t>DC No.: 1201090431</t>
  </si>
  <si>
    <t>~</t>
  </si>
  <si>
    <t>IWVC27012546</t>
  </si>
  <si>
    <t>SAN/25/01/3443</t>
  </si>
  <si>
    <t>ULR-CC239925000003131F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</si>
</sst>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.000"/>
    <numFmt numFmtId="166" formatCode="00.00\°\ \C"/>
  </numFmts>
  <fonts count="9">
    <font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7"/>
      <color indexed="18"/>
      <name val="Arial"/>
      <family val="2"/>
    </font>
    <font>
      <b/>
      <u/>
      <sz val="10"/>
      <name val="Arial"/>
      <family val="2"/>
    </font>
    <font>
      <sz val="10"/>
      <color indexed="9"/>
      <name val="Arial"/>
      <family val="2"/>
    </font>
    <font>
      <sz val="10"/>
      <name val="Arial MT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7" fillId="0" borderId="20" xfId="0" applyFont="1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2" fontId="7" fillId="0" borderId="0" xfId="0" applyNumberFormat="1" applyFont="1" applyAlignment="1">
      <alignment horizont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9" xfId="0" applyNumberFormat="1" applyBorder="1" applyAlignment="1">
      <alignment vertical="center"/>
    </xf>
    <xf numFmtId="2" fontId="0" fillId="0" borderId="8" xfId="0" applyNumberFormat="1" applyBorder="1" applyAlignment="1">
      <alignment horizontal="center" vertical="center"/>
    </xf>
    <xf numFmtId="0" fontId="5" fillId="0" borderId="6" xfId="0" applyFont="1" applyBorder="1"/>
    <xf numFmtId="0" fontId="0" fillId="0" borderId="14" xfId="0" applyBorder="1"/>
    <xf numFmtId="0" fontId="0" fillId="0" borderId="0" xfId="0" applyAlignment="1">
      <alignment horizontal="left"/>
    </xf>
    <xf numFmtId="2" fontId="7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vertical="center"/>
    </xf>
    <xf numFmtId="1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0" fillId="0" borderId="0" xfId="0" applyNumberFormat="1"/>
    <xf numFmtId="0" fontId="0" fillId="0" borderId="0" xfId="0" applyProtection="1">
      <protection locked="0"/>
    </xf>
    <xf numFmtId="0" fontId="7" fillId="0" borderId="2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right"/>
    </xf>
    <xf numFmtId="0" fontId="0" fillId="0" borderId="31" xfId="0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30" xfId="0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 applyProtection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7" fillId="0" borderId="2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left"/>
    </xf>
    <xf numFmtId="0" fontId="1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14" fontId="0" fillId="0" borderId="0" xfId="0" applyNumberFormat="1" applyAlignment="1">
      <alignment horizontal="left" vertical="center"/>
    </xf>
    <xf numFmtId="0" fontId="0" fillId="0" borderId="25" xfId="0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37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10" xfId="0" applyNumberFormat="1" applyBorder="1" applyAlignment="1">
      <alignment horizontal="left" vertical="center"/>
    </xf>
    <xf numFmtId="14" fontId="0" fillId="0" borderId="25" xfId="0" applyNumberFormat="1" applyBorder="1" applyAlignment="1">
      <alignment horizontal="left"/>
    </xf>
    <xf numFmtId="0" fontId="0" fillId="0" borderId="28" xfId="0" applyBorder="1" applyAlignment="1">
      <alignment horizontal="left"/>
    </xf>
    <xf numFmtId="1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164" fontId="0" fillId="0" borderId="25" xfId="1" applyFont="1" applyBorder="1" applyAlignment="1">
      <alignment horizontal="left"/>
    </xf>
    <xf numFmtId="164" fontId="8" fillId="0" borderId="25" xfId="1" applyBorder="1" applyAlignment="1">
      <alignment horizontal="left"/>
    </xf>
    <xf numFmtId="14" fontId="0" fillId="0" borderId="14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</cellXfs>
  <cellStyles count="2">
    <cellStyle name="Comma" xfId="1" builtinId="3"/>
    <cellStyle name="Normal" xfId="0" builtinId="0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85264"/>
        <c:axId val="757488592"/>
      </c:barChart>
      <c:catAx>
        <c:axId val="75748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88592"/>
        <c:crosses val="autoZero"/>
        <c:auto val="1"/>
        <c:lblAlgn val="ctr"/>
        <c:lblOffset val="100"/>
        <c:noMultiLvlLbl val="0"/>
      </c:catAx>
      <c:valAx>
        <c:axId val="7574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8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</xdr:row>
      <xdr:rowOff>85725</xdr:rowOff>
    </xdr:from>
    <xdr:to>
      <xdr:col>15</xdr:col>
      <xdr:colOff>390525</xdr:colOff>
      <xdr:row>2</xdr:row>
      <xdr:rowOff>19050</xdr:rowOff>
    </xdr:to>
    <xdr:pic>
      <xdr:nvPicPr>
        <xdr:cNvPr id="4100" name="Picture 1">
          <a:extLst>
            <a:ext uri="{FF2B5EF4-FFF2-40B4-BE49-F238E27FC236}">
              <a16:creationId xmlns:a16="http://schemas.microsoft.com/office/drawing/2014/main" id="{00000000-0008-0000-0100-00000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42900"/>
          <a:ext cx="1247775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295275</xdr:colOff>
      <xdr:row>0</xdr:row>
      <xdr:rowOff>28575</xdr:rowOff>
    </xdr:from>
    <xdr:to>
      <xdr:col>2</xdr:col>
      <xdr:colOff>228600</xdr:colOff>
      <xdr:row>5</xdr:row>
      <xdr:rowOff>19050</xdr:rowOff>
    </xdr:to>
    <xdr:grpSp>
      <xdr:nvGrpSpPr>
        <xdr:cNvPr id="4" name="Group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>
          <a:grpSpLocks/>
        </xdr:cNvGrpSpPr>
      </xdr:nvGrpSpPr>
      <xdr:grpSpPr bwMode="auto">
        <a:xfrm>
          <a:off x="295275" y="28575"/>
          <a:ext cx="809625" cy="1038225"/>
          <a:chOff x="190500" y="28576"/>
          <a:chExt cx="811104" cy="1047749"/>
        </a:xfrm>
      </xdr:grpSpPr>
      <xdr:pic>
        <xdr:nvPicPr>
          <xdr:cNvPr id="5" name="Picture 7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1422" t="7114" r="39331" b="23094"/>
          <a:stretch>
            <a:fillRect/>
          </a:stretch>
        </xdr:blipFill>
        <xdr:spPr bwMode="auto">
          <a:xfrm>
            <a:off x="190500" y="28576"/>
            <a:ext cx="811104" cy="9051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TextBox 13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305009" y="904875"/>
            <a:ext cx="601171" cy="171450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CC-2399</a:t>
            </a:r>
            <a:endParaRPr lang="en-IN" sz="8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14</xdr:col>
      <xdr:colOff>28575</xdr:colOff>
      <xdr:row>56</xdr:row>
      <xdr:rowOff>28575</xdr:rowOff>
    </xdr:from>
    <xdr:to>
      <xdr:col>15</xdr:col>
      <xdr:colOff>371475</xdr:colOff>
      <xdr:row>60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9" t="5823" r="6756" b="6164"/>
        <a:stretch/>
      </xdr:blipFill>
      <xdr:spPr bwMode="auto">
        <a:xfrm>
          <a:off x="6162675" y="9820275"/>
          <a:ext cx="781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2"/>
  <sheetViews>
    <sheetView showGridLines="0" tabSelected="1" zoomScaleNormal="100" workbookViewId="0">
      <selection activeCell="V32" sqref="V32"/>
    </sheetView>
  </sheetViews>
  <sheetFormatPr defaultRowHeight="12.75"/>
  <cols>
    <col min="1" max="7" width="6.5703125" customWidth="1"/>
    <col min="8" max="8" width="8.140625" customWidth="1"/>
    <col min="9" max="16" width="6.5703125" customWidth="1"/>
    <col min="17" max="17" width="6" customWidth="1"/>
    <col min="18" max="18" width="10.140625" customWidth="1"/>
    <col min="19" max="19" width="7.85546875" customWidth="1"/>
  </cols>
  <sheetData>
    <row r="1" spans="1:23" ht="20.25" customHeight="1">
      <c r="A1" s="1"/>
      <c r="B1" s="2"/>
      <c r="C1" s="3"/>
      <c r="D1" s="82" t="s">
        <v>0</v>
      </c>
      <c r="E1" s="82"/>
      <c r="F1" s="82"/>
      <c r="G1" s="82"/>
      <c r="H1" s="82"/>
      <c r="I1" s="82"/>
      <c r="J1" s="82"/>
      <c r="K1" s="82"/>
      <c r="L1" s="82"/>
      <c r="M1" s="82"/>
      <c r="N1" s="4"/>
      <c r="O1" s="2"/>
      <c r="P1" s="5"/>
    </row>
    <row r="2" spans="1:23" ht="20.25" customHeight="1">
      <c r="A2" s="6"/>
      <c r="C2" s="7"/>
      <c r="D2" s="82"/>
      <c r="E2" s="82"/>
      <c r="F2" s="82"/>
      <c r="G2" s="82"/>
      <c r="H2" s="82"/>
      <c r="I2" s="82"/>
      <c r="J2" s="82"/>
      <c r="K2" s="82"/>
      <c r="L2" s="82"/>
      <c r="M2" s="82"/>
      <c r="N2" s="8"/>
      <c r="P2" s="9"/>
    </row>
    <row r="3" spans="1:23" ht="20.25" customHeight="1">
      <c r="A3" s="6"/>
      <c r="C3" s="7"/>
      <c r="D3" s="82"/>
      <c r="E3" s="82"/>
      <c r="F3" s="82"/>
      <c r="G3" s="82"/>
      <c r="H3" s="82"/>
      <c r="I3" s="82"/>
      <c r="J3" s="82"/>
      <c r="K3" s="82"/>
      <c r="L3" s="82"/>
      <c r="M3" s="82"/>
      <c r="N3" s="83" t="s">
        <v>1</v>
      </c>
      <c r="O3" s="83"/>
      <c r="P3" s="83"/>
    </row>
    <row r="4" spans="1:23" ht="11.25" customHeight="1">
      <c r="A4" s="79"/>
      <c r="B4" s="79"/>
      <c r="C4" s="79"/>
      <c r="D4" s="82"/>
      <c r="E4" s="82"/>
      <c r="F4" s="82"/>
      <c r="G4" s="82"/>
      <c r="H4" s="82"/>
      <c r="I4" s="82"/>
      <c r="J4" s="82"/>
      <c r="K4" s="82"/>
      <c r="L4" s="82"/>
      <c r="M4" s="82"/>
      <c r="N4" s="8"/>
      <c r="P4" s="9"/>
    </row>
    <row r="5" spans="1:23" ht="10.5" customHeight="1">
      <c r="A5" s="80"/>
      <c r="B5" s="80"/>
      <c r="C5" s="80"/>
      <c r="D5" s="82"/>
      <c r="E5" s="82"/>
      <c r="F5" s="82"/>
      <c r="G5" s="82"/>
      <c r="H5" s="82"/>
      <c r="I5" s="82"/>
      <c r="J5" s="82"/>
      <c r="K5" s="82"/>
      <c r="L5" s="82"/>
      <c r="M5" s="82"/>
      <c r="N5" s="10"/>
      <c r="O5" s="10"/>
      <c r="P5" s="11"/>
      <c r="R5" s="85"/>
      <c r="S5" s="85"/>
      <c r="T5" s="85"/>
      <c r="U5" s="85"/>
    </row>
    <row r="6" spans="1:23" ht="12.75" customHeight="1">
      <c r="A6" s="6"/>
      <c r="B6" s="12" t="s">
        <v>2</v>
      </c>
      <c r="E6" s="13"/>
      <c r="F6" s="13"/>
      <c r="G6" s="13"/>
      <c r="H6" s="14"/>
      <c r="I6" s="51" t="s">
        <v>3</v>
      </c>
      <c r="J6" s="15"/>
      <c r="K6" s="15"/>
      <c r="L6" s="16"/>
      <c r="M6" s="81" t="s">
        <v>85</v>
      </c>
      <c r="N6" s="81"/>
      <c r="O6" s="81"/>
      <c r="P6" s="81"/>
      <c r="R6" s="85" t="s">
        <v>5</v>
      </c>
      <c r="S6" s="85"/>
      <c r="T6" s="85"/>
      <c r="U6" s="85"/>
    </row>
    <row r="7" spans="1:23">
      <c r="A7" s="50">
        <v>70</v>
      </c>
      <c r="B7" s="58" t="str">
        <f>IF(A7=20,"SANSERA ENGINEERING  LTD PLANT 2",IF(A7=30,"SANSERA ENGINEERING  LTD. PLANT 3",IF(A7=10,"SANSERA ENGINEERING  LTD. PLANT 1",IF(A7=50,"GEAROCK FORGE  LTD.",IF(A7=70,"SANSERA ENGINEERING  LTD. PLANT  7 ",IF(A7=80,"SANSERA ENGINEERING  LTD. PLANT  8.",IF(A7=90,"SANSERA ENGINEERING LTD. AEROSPACE DIVISION ",IF(A7=110,"SANSERA ENGINEERING  LTD PLANT 11 "))))))))</f>
        <v xml:space="preserve">SANSERA ENGINEERING  LTD. PLANT  7 </v>
      </c>
      <c r="H7" s="7"/>
      <c r="I7" s="51" t="s">
        <v>4</v>
      </c>
      <c r="J7" s="15"/>
      <c r="K7" s="15"/>
      <c r="L7" s="16"/>
      <c r="M7" s="81" t="s">
        <v>88</v>
      </c>
      <c r="N7" s="81"/>
      <c r="O7" s="81"/>
      <c r="P7" s="81"/>
      <c r="R7" s="85" t="s">
        <v>56</v>
      </c>
      <c r="S7" s="85"/>
      <c r="T7" s="85"/>
      <c r="U7" s="85"/>
    </row>
    <row r="8" spans="1:23">
      <c r="A8" s="6"/>
      <c r="B8" s="58" t="str">
        <f>IF(A7=20,"261/C, BOMMASANDRA INDUSTRIAL AREA",IF(A7=30,"BOMMASANDRA - JIGANI LINK ROAD",IF(A7=10,"No.26/6 YARANDAHALLI (V), JIGANI (HOBLI)",IF(A7=50,"NO:143,B-8,BOMMASANDRA INDL AREA",IF(A7=70,"FAC:143A, BOMMASANDRA - JIGANI LINK ROAD",IF(A7=80,"# 1, BOMMASANDRA - JIGANI LINK ROAD",IF(A7=90,"SY.NO.101/3, 101/4 &amp; 105/3, MUNESWARA FARM,",IF(A7=110,"BIDADI INDUSTRIAL AREA PLOT NO 48,PHASE 2,"))))))))</f>
        <v>FAC:143A, BOMMASANDRA - JIGANI LINK ROAD</v>
      </c>
      <c r="H8" s="7"/>
      <c r="I8" s="51" t="s">
        <v>6</v>
      </c>
      <c r="J8" s="15"/>
      <c r="K8" s="15"/>
      <c r="L8" s="16"/>
      <c r="M8" s="91" t="s">
        <v>7</v>
      </c>
      <c r="N8" s="89"/>
      <c r="O8" s="89"/>
      <c r="P8" s="94"/>
      <c r="R8" s="85" t="s">
        <v>57</v>
      </c>
      <c r="S8" s="85"/>
      <c r="T8" s="85"/>
      <c r="U8" s="85"/>
      <c r="W8" s="60"/>
    </row>
    <row r="9" spans="1:23">
      <c r="A9" s="6"/>
      <c r="B9" s="58" t="str">
        <f>IF(A7=20,"BANGALORE - 560 099",IF(A7=30,"INDL AREA, BANGALORE - 560 099",IF(A7=10,"BOMMASANDRA INDL. AREA,BANGALORE-99",IF(A7=50,"ANEKAL TALUK",IF(A7=70,"BANGALORE - 560 099",IF(A7=80,"BANGALORE - 560 099",IF(A7=90,"KIADB PHASE-2, JIGANI IND 560105, KARNATAKA",IF(A7=110,"SECTOR 2 RAMANAGARA DISTRICT"))))))))</f>
        <v>BANGALORE - 560 099</v>
      </c>
      <c r="H9" s="7"/>
      <c r="I9" s="51" t="s">
        <v>76</v>
      </c>
      <c r="J9" s="15"/>
      <c r="K9" s="15"/>
      <c r="L9" s="16"/>
      <c r="M9" s="95">
        <v>10106969</v>
      </c>
      <c r="N9" s="96"/>
      <c r="O9" s="96"/>
      <c r="P9" s="97"/>
      <c r="R9" s="85" t="s">
        <v>9</v>
      </c>
      <c r="S9" s="85"/>
      <c r="T9" s="85"/>
      <c r="U9" s="85"/>
    </row>
    <row r="10" spans="1:23">
      <c r="A10" s="6"/>
      <c r="B10" s="58"/>
      <c r="H10" s="7"/>
      <c r="I10" s="51" t="s">
        <v>8</v>
      </c>
      <c r="J10" s="15"/>
      <c r="K10" s="15"/>
      <c r="L10" s="16"/>
      <c r="M10" s="93">
        <v>45684</v>
      </c>
      <c r="N10" s="93"/>
      <c r="O10" s="93"/>
      <c r="P10" s="93"/>
      <c r="R10" s="85" t="s">
        <v>9</v>
      </c>
      <c r="S10" s="85"/>
      <c r="T10" s="85"/>
      <c r="U10" s="85"/>
    </row>
    <row r="11" spans="1:23">
      <c r="A11" s="6"/>
      <c r="B11" s="58"/>
      <c r="H11" s="7"/>
      <c r="I11" s="51" t="s">
        <v>60</v>
      </c>
      <c r="J11" s="15"/>
      <c r="K11" s="15"/>
      <c r="L11" s="16"/>
      <c r="M11" s="93">
        <v>45685</v>
      </c>
      <c r="N11" s="93"/>
      <c r="O11" s="93"/>
      <c r="P11" s="93"/>
    </row>
    <row r="12" spans="1:23">
      <c r="A12" s="88" t="s">
        <v>71</v>
      </c>
      <c r="B12" s="89"/>
      <c r="C12" s="89"/>
      <c r="D12" s="90"/>
      <c r="E12" s="102">
        <v>45684</v>
      </c>
      <c r="F12" s="103"/>
      <c r="G12" s="103"/>
      <c r="H12" s="104"/>
      <c r="I12" s="51" t="s">
        <v>10</v>
      </c>
      <c r="J12" s="15"/>
      <c r="K12" s="15"/>
      <c r="L12" s="16"/>
      <c r="M12" s="81" t="s">
        <v>89</v>
      </c>
      <c r="N12" s="81"/>
      <c r="O12" s="81"/>
      <c r="P12" s="81"/>
      <c r="Q12">
        <f>LEN(M12)</f>
        <v>12</v>
      </c>
    </row>
    <row r="13" spans="1:23">
      <c r="A13" s="88" t="s">
        <v>11</v>
      </c>
      <c r="B13" s="89"/>
      <c r="C13" s="89"/>
      <c r="D13" s="90"/>
      <c r="E13" s="102" t="s">
        <v>87</v>
      </c>
      <c r="F13" s="103"/>
      <c r="G13" s="103"/>
      <c r="H13" s="104"/>
      <c r="I13" s="51" t="s">
        <v>77</v>
      </c>
      <c r="J13" s="15"/>
      <c r="K13" s="15"/>
      <c r="L13" s="16"/>
      <c r="M13" s="91" t="s">
        <v>90</v>
      </c>
      <c r="N13" s="89"/>
      <c r="O13" s="89"/>
      <c r="P13" s="94"/>
      <c r="Q13">
        <f>LEN(M13)</f>
        <v>14</v>
      </c>
    </row>
    <row r="14" spans="1:23">
      <c r="A14" s="88" t="s">
        <v>72</v>
      </c>
      <c r="B14" s="89"/>
      <c r="C14" s="89"/>
      <c r="D14" s="90"/>
      <c r="E14" s="91" t="s">
        <v>73</v>
      </c>
      <c r="F14" s="89"/>
      <c r="G14" s="89"/>
      <c r="H14" s="90"/>
      <c r="I14" s="51" t="s">
        <v>40</v>
      </c>
      <c r="J14" s="15"/>
      <c r="K14" s="15"/>
      <c r="L14" s="16"/>
      <c r="M14" s="81" t="s">
        <v>91</v>
      </c>
      <c r="N14" s="81"/>
      <c r="O14" s="81"/>
      <c r="P14" s="81"/>
    </row>
    <row r="15" spans="1:23">
      <c r="A15" s="88" t="s">
        <v>74</v>
      </c>
      <c r="B15" s="89"/>
      <c r="C15" s="89"/>
      <c r="D15" s="90"/>
      <c r="E15" s="91" t="s">
        <v>75</v>
      </c>
      <c r="F15" s="89"/>
      <c r="G15" s="89"/>
      <c r="H15" s="90"/>
      <c r="I15" s="91" t="s">
        <v>78</v>
      </c>
      <c r="J15" s="89"/>
      <c r="K15" s="89"/>
      <c r="L15" s="90"/>
      <c r="M15" s="100" t="s">
        <v>79</v>
      </c>
      <c r="N15" s="101"/>
      <c r="O15" s="101"/>
      <c r="P15" s="101"/>
      <c r="Q15">
        <f>LEN(M15)</f>
        <v>13</v>
      </c>
    </row>
    <row r="16" spans="1:23" ht="12.75" customHeight="1">
      <c r="A16" s="98" t="s">
        <v>12</v>
      </c>
      <c r="B16" s="98"/>
      <c r="C16" s="98"/>
      <c r="D16" s="98"/>
      <c r="E16" s="98"/>
      <c r="F16" s="98"/>
      <c r="G16" s="98"/>
      <c r="H16" s="98"/>
      <c r="I16" s="99" t="s">
        <v>13</v>
      </c>
      <c r="J16" s="99"/>
      <c r="K16" s="99"/>
      <c r="L16" s="99"/>
      <c r="M16" s="99"/>
      <c r="N16" s="99"/>
      <c r="O16" s="99"/>
      <c r="P16" s="99"/>
    </row>
    <row r="17" spans="1:23" s="22" customFormat="1">
      <c r="A17" s="17" t="s">
        <v>45</v>
      </c>
      <c r="B17" s="18"/>
      <c r="C17" s="18"/>
      <c r="D17" s="18"/>
      <c r="E17" s="18"/>
      <c r="F17" s="18"/>
      <c r="G17" s="18"/>
      <c r="H17" s="19"/>
      <c r="I17" s="20" t="s">
        <v>14</v>
      </c>
      <c r="J17" s="18"/>
      <c r="K17" s="20"/>
      <c r="L17" s="20"/>
      <c r="M17" s="20"/>
      <c r="N17" s="20"/>
      <c r="O17" s="20"/>
      <c r="P17" s="21"/>
    </row>
    <row r="18" spans="1:23" s="22" customFormat="1">
      <c r="A18" s="17" t="s">
        <v>44</v>
      </c>
      <c r="B18" s="18"/>
      <c r="C18" s="18"/>
      <c r="D18" s="18"/>
      <c r="E18" s="18"/>
      <c r="F18" s="18"/>
      <c r="G18" s="18"/>
      <c r="H18" s="19"/>
      <c r="I18" s="23" t="s">
        <v>46</v>
      </c>
      <c r="J18" s="18"/>
      <c r="K18" s="20"/>
      <c r="L18" s="20"/>
      <c r="M18" s="20"/>
      <c r="N18" s="20"/>
      <c r="O18" s="20"/>
      <c r="P18" s="21"/>
    </row>
    <row r="19" spans="1:23" s="22" customFormat="1">
      <c r="A19" s="17"/>
      <c r="B19" s="18"/>
      <c r="C19" s="18"/>
      <c r="D19" s="18"/>
      <c r="E19" s="18"/>
      <c r="F19" s="18"/>
      <c r="G19" s="18"/>
      <c r="H19" s="19"/>
      <c r="I19" s="23" t="s">
        <v>65</v>
      </c>
      <c r="J19" s="18"/>
      <c r="K19" s="20"/>
      <c r="L19" s="20"/>
      <c r="M19" s="56"/>
      <c r="N19" s="56"/>
      <c r="O19" s="20"/>
      <c r="P19" s="21"/>
      <c r="R19" s="54"/>
      <c r="T19" s="22" t="s">
        <v>53</v>
      </c>
      <c r="W19" s="22">
        <v>413</v>
      </c>
    </row>
    <row r="20" spans="1:23">
      <c r="A20" s="17" t="s">
        <v>58</v>
      </c>
      <c r="B20" s="18"/>
      <c r="C20" s="18"/>
      <c r="D20" s="18"/>
      <c r="E20" s="18"/>
      <c r="F20" s="18"/>
      <c r="G20" s="18"/>
      <c r="H20" s="19"/>
      <c r="I20" s="20" t="s">
        <v>64</v>
      </c>
      <c r="J20" s="18"/>
      <c r="K20" s="18"/>
      <c r="L20" s="18"/>
      <c r="M20" s="18"/>
      <c r="N20" s="18"/>
      <c r="O20" s="18"/>
      <c r="P20" s="21"/>
      <c r="R20" s="59">
        <f ca="1">TODAY()</f>
        <v>45687</v>
      </c>
    </row>
    <row r="21" spans="1:23">
      <c r="A21" s="17" t="s">
        <v>69</v>
      </c>
      <c r="B21" s="18"/>
      <c r="C21" s="18"/>
      <c r="D21" s="18"/>
      <c r="E21" s="18"/>
      <c r="F21" s="18"/>
      <c r="G21" s="18"/>
      <c r="H21" s="19"/>
      <c r="I21" s="23" t="s">
        <v>15</v>
      </c>
      <c r="J21" s="18"/>
      <c r="K21" s="18"/>
      <c r="L21" s="18"/>
      <c r="M21" s="18"/>
      <c r="N21" s="18"/>
      <c r="O21" s="18"/>
      <c r="P21" s="21"/>
    </row>
    <row r="22" spans="1:23">
      <c r="A22" s="17"/>
      <c r="B22" s="18"/>
      <c r="C22" s="18"/>
      <c r="D22" s="18"/>
      <c r="E22" s="18"/>
      <c r="F22" s="18"/>
      <c r="G22" s="18"/>
      <c r="H22" s="19"/>
      <c r="I22" s="23" t="s">
        <v>70</v>
      </c>
      <c r="J22" s="18"/>
      <c r="K22" s="18"/>
      <c r="L22" s="84">
        <v>46024</v>
      </c>
      <c r="M22" s="84"/>
      <c r="N22" s="18"/>
      <c r="O22" s="18"/>
      <c r="P22" s="21"/>
      <c r="T22" t="s">
        <v>54</v>
      </c>
    </row>
    <row r="23" spans="1:23">
      <c r="A23" s="17" t="s">
        <v>41</v>
      </c>
      <c r="B23" s="20"/>
      <c r="C23" s="20"/>
      <c r="D23" s="20"/>
      <c r="E23" s="20"/>
      <c r="F23" s="20"/>
      <c r="G23" s="20"/>
      <c r="H23" s="40"/>
      <c r="I23" s="20" t="s">
        <v>42</v>
      </c>
      <c r="J23" s="18"/>
      <c r="K23" s="20"/>
      <c r="L23" s="20"/>
      <c r="M23" s="20"/>
      <c r="N23" s="20"/>
      <c r="O23" s="20"/>
      <c r="P23" s="32"/>
    </row>
    <row r="24" spans="1:23">
      <c r="A24" s="17" t="s">
        <v>59</v>
      </c>
      <c r="B24" s="20"/>
      <c r="C24" s="20"/>
      <c r="D24" s="20"/>
      <c r="E24" s="20"/>
      <c r="F24" s="20"/>
      <c r="G24" s="20"/>
      <c r="H24" s="40"/>
      <c r="I24" s="23" t="s">
        <v>15</v>
      </c>
      <c r="J24" s="18"/>
      <c r="K24" s="20"/>
      <c r="L24" s="20"/>
      <c r="M24" s="20"/>
      <c r="N24" s="20"/>
      <c r="O24" s="20"/>
      <c r="P24" s="32"/>
      <c r="R24" s="24">
        <v>20.100000000000001</v>
      </c>
      <c r="S24" s="52">
        <v>51.8</v>
      </c>
      <c r="T24" t="s">
        <v>55</v>
      </c>
    </row>
    <row r="25" spans="1:23">
      <c r="A25" s="17"/>
      <c r="B25" s="20"/>
      <c r="C25" s="20"/>
      <c r="D25" s="20"/>
      <c r="E25" s="20"/>
      <c r="F25" s="20"/>
      <c r="G25" s="20"/>
      <c r="H25" s="40"/>
      <c r="I25" s="23" t="s">
        <v>67</v>
      </c>
      <c r="J25" s="18"/>
      <c r="K25" s="20"/>
      <c r="L25" s="92">
        <v>45772</v>
      </c>
      <c r="M25" s="92"/>
      <c r="N25" s="55"/>
      <c r="O25" s="20"/>
      <c r="P25" s="32"/>
      <c r="R25" s="24">
        <v>20.2</v>
      </c>
      <c r="S25" s="52">
        <v>52.3</v>
      </c>
    </row>
    <row r="26" spans="1:23" ht="12.75" customHeight="1">
      <c r="A26" s="25" t="s">
        <v>16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R26" s="24">
        <v>20.100000000000001</v>
      </c>
      <c r="S26" s="52">
        <v>53.1</v>
      </c>
    </row>
    <row r="27" spans="1:23">
      <c r="A27" s="28"/>
      <c r="B27" s="29"/>
      <c r="C27" s="29"/>
      <c r="D27" s="29"/>
      <c r="E27" s="29" t="s">
        <v>62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R27" s="31">
        <f>AVERAGE(R26:R26)</f>
        <v>20.100000000000001</v>
      </c>
      <c r="S27" s="53">
        <f>AVERAGE(S26:S26)</f>
        <v>53.1</v>
      </c>
    </row>
    <row r="28" spans="1:23" ht="12.75" customHeight="1">
      <c r="A28" s="78" t="s">
        <v>17</v>
      </c>
      <c r="B28" s="78"/>
      <c r="C28" s="78"/>
      <c r="D28" s="78"/>
      <c r="E28" s="63" t="s">
        <v>18</v>
      </c>
      <c r="F28" s="63"/>
      <c r="G28" s="63"/>
      <c r="H28" s="63" t="s">
        <v>19</v>
      </c>
      <c r="I28" s="63"/>
      <c r="J28" s="63"/>
      <c r="K28" s="63" t="s">
        <v>20</v>
      </c>
      <c r="L28" s="63"/>
      <c r="M28" s="63"/>
      <c r="N28" s="85" t="s">
        <v>32</v>
      </c>
      <c r="O28" s="85"/>
      <c r="P28" s="85"/>
    </row>
    <row r="29" spans="1:23">
      <c r="A29" s="78"/>
      <c r="B29" s="78"/>
      <c r="C29" s="78"/>
      <c r="D29" s="78"/>
      <c r="E29" s="63" t="s">
        <v>21</v>
      </c>
      <c r="F29" s="63"/>
      <c r="G29" s="63"/>
      <c r="H29" s="86">
        <f>+R27</f>
        <v>20.100000000000001</v>
      </c>
      <c r="I29" s="86"/>
      <c r="J29" s="86"/>
      <c r="K29" s="63" t="s">
        <v>21</v>
      </c>
      <c r="L29" s="63"/>
      <c r="M29" s="63"/>
      <c r="N29" s="87">
        <f>+S27/100</f>
        <v>0.53100000000000003</v>
      </c>
      <c r="O29" s="87"/>
      <c r="P29" s="87"/>
    </row>
    <row r="30" spans="1:23" ht="9.75" customHeight="1">
      <c r="A30" s="6"/>
      <c r="P30" s="9"/>
    </row>
    <row r="31" spans="1:23" s="20" customFormat="1" ht="15" customHeight="1">
      <c r="A31" s="17"/>
      <c r="B31" s="20" t="s">
        <v>83</v>
      </c>
      <c r="K31" s="41">
        <v>0.02</v>
      </c>
      <c r="P31" s="32"/>
    </row>
    <row r="32" spans="1:23" s="20" customFormat="1" ht="15" customHeight="1">
      <c r="A32" s="17"/>
      <c r="B32" s="20" t="s">
        <v>84</v>
      </c>
      <c r="K32" s="41">
        <v>0.01</v>
      </c>
      <c r="P32" s="32"/>
    </row>
    <row r="33" spans="1:34" s="20" customFormat="1" ht="8.25" customHeight="1">
      <c r="A33" s="17"/>
      <c r="K33" s="23"/>
      <c r="P33" s="32"/>
    </row>
    <row r="34" spans="1:34" s="20" customFormat="1" ht="15" customHeight="1">
      <c r="A34" s="35"/>
      <c r="B34" s="20" t="s">
        <v>50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  <row r="35" spans="1:34" s="20" customFormat="1" ht="15" customHeight="1">
      <c r="A35" s="35"/>
      <c r="D35" s="62" t="s">
        <v>33</v>
      </c>
      <c r="E35" s="62"/>
      <c r="F35" s="62"/>
      <c r="G35" s="62"/>
      <c r="H35" s="42">
        <v>0</v>
      </c>
      <c r="I35" s="43">
        <v>20.02</v>
      </c>
      <c r="J35" s="43">
        <v>50</v>
      </c>
      <c r="K35" s="43">
        <v>100</v>
      </c>
      <c r="L35" s="43">
        <v>130</v>
      </c>
      <c r="M35" s="43">
        <v>150</v>
      </c>
      <c r="N35" s="39"/>
      <c r="O35" s="44"/>
      <c r="P35" s="37"/>
    </row>
    <row r="36" spans="1:34" s="20" customFormat="1" ht="15" customHeight="1">
      <c r="A36" s="35"/>
      <c r="D36" s="62" t="s">
        <v>47</v>
      </c>
      <c r="E36" s="62"/>
      <c r="F36" s="62"/>
      <c r="G36" s="62"/>
      <c r="H36" s="43">
        <v>0</v>
      </c>
      <c r="I36" s="43">
        <v>20.010000000000002</v>
      </c>
      <c r="J36" s="43">
        <v>50</v>
      </c>
      <c r="K36" s="43">
        <v>100</v>
      </c>
      <c r="L36" s="43">
        <v>129.97999999999999</v>
      </c>
      <c r="M36" s="43">
        <v>150.03</v>
      </c>
      <c r="N36" s="45"/>
      <c r="O36" s="44"/>
      <c r="P36" s="37"/>
      <c r="V36" s="63" t="s">
        <v>21</v>
      </c>
      <c r="W36" s="63"/>
      <c r="X36" s="63"/>
    </row>
    <row r="37" spans="1:34" s="20" customFormat="1" ht="15" customHeight="1">
      <c r="A37" s="35"/>
      <c r="D37" s="62" t="s">
        <v>48</v>
      </c>
      <c r="E37" s="62"/>
      <c r="F37" s="62"/>
      <c r="G37" s="62"/>
      <c r="H37" s="43">
        <v>0</v>
      </c>
      <c r="I37" s="43">
        <f>I36-I35</f>
        <v>-9.9999999999980105E-3</v>
      </c>
      <c r="J37" s="43">
        <f t="shared" ref="J37:M37" si="0">J36-J35</f>
        <v>0</v>
      </c>
      <c r="K37" s="43">
        <f t="shared" si="0"/>
        <v>0</v>
      </c>
      <c r="L37" s="43">
        <f t="shared" si="0"/>
        <v>-2.0000000000010232E-2</v>
      </c>
      <c r="M37" s="43">
        <f t="shared" si="0"/>
        <v>3.0000000000001137E-2</v>
      </c>
      <c r="N37" s="45"/>
      <c r="O37" s="44"/>
      <c r="P37" s="37"/>
      <c r="V37" s="22"/>
      <c r="W37" s="22"/>
      <c r="X37" s="22"/>
    </row>
    <row r="38" spans="1:34" s="20" customFormat="1" ht="9" customHeight="1">
      <c r="A38" s="46"/>
      <c r="B38" s="47"/>
      <c r="C38" s="47"/>
      <c r="H38" s="39"/>
      <c r="I38" s="39"/>
      <c r="J38" s="39"/>
      <c r="K38" s="39"/>
      <c r="L38" s="39"/>
      <c r="M38" s="39"/>
      <c r="N38" s="39"/>
      <c r="O38" s="39"/>
      <c r="P38" s="48"/>
    </row>
    <row r="39" spans="1:34" s="20" customFormat="1" ht="15" customHeight="1">
      <c r="A39" s="17"/>
      <c r="B39" s="23" t="s">
        <v>51</v>
      </c>
      <c r="C39" s="18"/>
      <c r="D39" s="38"/>
      <c r="E39" s="38"/>
      <c r="F39" s="38"/>
      <c r="G39" s="38"/>
      <c r="H39" s="39"/>
      <c r="I39" s="39"/>
      <c r="J39" s="39"/>
      <c r="K39" s="39"/>
      <c r="L39" s="39"/>
      <c r="M39" s="39"/>
      <c r="N39" s="39"/>
      <c r="O39" s="39"/>
      <c r="P39" s="32"/>
    </row>
    <row r="40" spans="1:34" s="20" customFormat="1" ht="15" customHeight="1">
      <c r="A40" s="35"/>
      <c r="D40" s="62" t="s">
        <v>33</v>
      </c>
      <c r="E40" s="62"/>
      <c r="F40" s="62"/>
      <c r="G40" s="62"/>
      <c r="H40" s="42">
        <v>0</v>
      </c>
      <c r="I40" s="43">
        <v>20</v>
      </c>
      <c r="J40" s="43">
        <v>50</v>
      </c>
      <c r="K40" s="43">
        <v>100</v>
      </c>
      <c r="L40" s="43">
        <v>120</v>
      </c>
      <c r="M40" s="43">
        <v>150</v>
      </c>
      <c r="N40" s="44"/>
      <c r="O40" s="44"/>
      <c r="P40" s="37"/>
    </row>
    <row r="41" spans="1:34" s="20" customFormat="1" ht="15" customHeight="1">
      <c r="A41" s="35"/>
      <c r="D41" s="62" t="s">
        <v>47</v>
      </c>
      <c r="E41" s="62"/>
      <c r="F41" s="62"/>
      <c r="G41" s="62"/>
      <c r="H41" s="43">
        <v>0</v>
      </c>
      <c r="I41" s="43">
        <v>19.989999999999998</v>
      </c>
      <c r="J41" s="43">
        <v>49.98</v>
      </c>
      <c r="K41" s="43">
        <v>99.98</v>
      </c>
      <c r="L41" s="43">
        <v>119.98</v>
      </c>
      <c r="M41" s="43">
        <v>149.97999999999999</v>
      </c>
      <c r="N41" s="44"/>
      <c r="O41" s="44"/>
      <c r="P41" s="37"/>
    </row>
    <row r="42" spans="1:34" s="20" customFormat="1" ht="15" customHeight="1">
      <c r="A42" s="35"/>
      <c r="D42" s="62" t="s">
        <v>48</v>
      </c>
      <c r="E42" s="62"/>
      <c r="F42" s="62"/>
      <c r="G42" s="62"/>
      <c r="H42" s="43">
        <v>0</v>
      </c>
      <c r="I42" s="43">
        <f>I41-I40</f>
        <v>-1.0000000000001563E-2</v>
      </c>
      <c r="J42" s="43">
        <f t="shared" ref="J42:M42" si="1">J41-J40</f>
        <v>-2.0000000000003126E-2</v>
      </c>
      <c r="K42" s="43">
        <f t="shared" si="1"/>
        <v>-1.9999999999996021E-2</v>
      </c>
      <c r="L42" s="43">
        <f t="shared" si="1"/>
        <v>-1.9999999999996021E-2</v>
      </c>
      <c r="M42" s="43">
        <f t="shared" si="1"/>
        <v>-2.0000000000010232E-2</v>
      </c>
      <c r="N42" s="44"/>
      <c r="O42" s="44"/>
      <c r="P42" s="37"/>
    </row>
    <row r="43" spans="1:34" s="20" customFormat="1" ht="9" customHeight="1">
      <c r="A43" s="17"/>
      <c r="B43" s="18"/>
      <c r="C43" s="18"/>
      <c r="D43" s="38"/>
      <c r="E43" s="38"/>
      <c r="F43" s="38"/>
      <c r="G43" s="38"/>
      <c r="H43" s="39"/>
      <c r="I43" s="39"/>
      <c r="J43" s="39"/>
      <c r="K43" s="39"/>
      <c r="L43" s="39"/>
      <c r="M43" s="39"/>
      <c r="N43" s="39"/>
      <c r="O43" s="39"/>
      <c r="P43" s="32"/>
      <c r="S43" s="20" t="s">
        <v>34</v>
      </c>
    </row>
    <row r="44" spans="1:34" s="20" customFormat="1" ht="15" customHeight="1">
      <c r="A44" s="17"/>
      <c r="B44" s="23" t="s">
        <v>52</v>
      </c>
      <c r="C44" s="18"/>
      <c r="D44" s="38"/>
      <c r="E44" s="38"/>
      <c r="F44" s="38"/>
      <c r="G44" s="38"/>
      <c r="H44" s="39"/>
      <c r="I44" s="39"/>
      <c r="J44" s="39"/>
      <c r="K44" s="39"/>
      <c r="L44" s="39"/>
      <c r="M44" s="39"/>
      <c r="N44" s="39"/>
      <c r="O44" s="39"/>
      <c r="P44" s="32"/>
      <c r="S44" s="20" t="s">
        <v>35</v>
      </c>
    </row>
    <row r="45" spans="1:34" s="20" customFormat="1" ht="15" customHeight="1">
      <c r="A45" s="35"/>
      <c r="D45" s="62" t="s">
        <v>33</v>
      </c>
      <c r="E45" s="62"/>
      <c r="F45" s="62"/>
      <c r="G45" s="62"/>
      <c r="H45" s="42">
        <v>20</v>
      </c>
      <c r="I45" s="43">
        <v>50</v>
      </c>
      <c r="J45" s="43">
        <v>100</v>
      </c>
      <c r="K45" s="49"/>
      <c r="L45" s="45"/>
      <c r="M45" s="45"/>
      <c r="N45" s="44"/>
      <c r="O45" s="44"/>
      <c r="P45" s="37"/>
      <c r="S45" s="20" t="s">
        <v>36</v>
      </c>
    </row>
    <row r="46" spans="1:34" s="20" customFormat="1" ht="15" customHeight="1">
      <c r="A46" s="35"/>
      <c r="D46" s="62" t="s">
        <v>47</v>
      </c>
      <c r="E46" s="62"/>
      <c r="F46" s="62"/>
      <c r="G46" s="62"/>
      <c r="H46" s="43">
        <v>19.98</v>
      </c>
      <c r="I46" s="43">
        <v>49.99</v>
      </c>
      <c r="J46" s="43">
        <v>99.98</v>
      </c>
      <c r="K46" s="49"/>
      <c r="L46" s="45"/>
      <c r="M46" s="45"/>
      <c r="N46" s="44"/>
      <c r="O46" s="44"/>
      <c r="P46" s="37"/>
      <c r="S46" t="s">
        <v>37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s="20" customFormat="1" ht="15" customHeight="1">
      <c r="A47" s="35"/>
      <c r="D47" s="62" t="s">
        <v>48</v>
      </c>
      <c r="E47" s="62"/>
      <c r="F47" s="62"/>
      <c r="G47" s="62"/>
      <c r="H47" s="43">
        <f>H46-H45</f>
        <v>-1.9999999999999574E-2</v>
      </c>
      <c r="I47" s="43">
        <f t="shared" ref="I47:J47" si="2">I46-I45</f>
        <v>-9.9999999999980105E-3</v>
      </c>
      <c r="J47" s="43">
        <f t="shared" si="2"/>
        <v>-1.9999999999996021E-2</v>
      </c>
      <c r="K47" s="45"/>
      <c r="L47" s="45"/>
      <c r="M47" s="45"/>
      <c r="N47" s="44"/>
      <c r="O47" s="44"/>
      <c r="P47" s="37"/>
      <c r="S47" s="67" t="s">
        <v>38</v>
      </c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</row>
    <row r="48" spans="1:34" s="20" customFormat="1" ht="15" customHeight="1">
      <c r="A48" s="35"/>
      <c r="D48" s="72" t="s">
        <v>80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4"/>
      <c r="P48" s="3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</row>
    <row r="49" spans="1:34" s="20" customFormat="1" ht="15" customHeight="1">
      <c r="A49" s="35"/>
      <c r="D49" s="75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7"/>
      <c r="P49" s="3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</row>
    <row r="50" spans="1:34" s="20" customFormat="1" ht="13.5" customHeight="1">
      <c r="A50" s="17"/>
      <c r="C50" s="18"/>
      <c r="E50" s="38"/>
      <c r="F50" s="38"/>
      <c r="G50" s="38"/>
      <c r="H50" s="38"/>
      <c r="I50" s="38"/>
      <c r="J50" s="38"/>
      <c r="K50" s="38"/>
      <c r="L50" s="38"/>
      <c r="M50" s="38"/>
      <c r="N50" s="38"/>
      <c r="P50" s="32"/>
    </row>
    <row r="51" spans="1:34" s="20" customFormat="1" ht="21" customHeight="1">
      <c r="A51" s="17"/>
      <c r="C51" s="71" t="s">
        <v>22</v>
      </c>
      <c r="D51" s="71"/>
      <c r="E51" s="71"/>
      <c r="F51" s="71"/>
      <c r="G51" s="71"/>
      <c r="H51" s="71"/>
      <c r="I51" s="62" t="s">
        <v>82</v>
      </c>
      <c r="J51" s="62"/>
      <c r="K51" s="62"/>
      <c r="L51" s="62"/>
      <c r="M51" s="62"/>
      <c r="N51" s="62"/>
      <c r="P51" s="32"/>
    </row>
    <row r="52" spans="1:34" s="20" customFormat="1" ht="21" customHeight="1">
      <c r="A52" s="17"/>
      <c r="C52" s="69" t="s">
        <v>23</v>
      </c>
      <c r="D52" s="69"/>
      <c r="E52" s="69"/>
      <c r="F52" s="70" t="s">
        <v>61</v>
      </c>
      <c r="G52" s="70"/>
      <c r="H52" s="70"/>
      <c r="I52" s="69" t="s">
        <v>23</v>
      </c>
      <c r="J52" s="69"/>
      <c r="K52" s="69"/>
      <c r="L52" s="62" t="s">
        <v>25</v>
      </c>
      <c r="M52" s="62"/>
      <c r="N52" s="62"/>
      <c r="P52" s="32"/>
      <c r="R52" s="62" t="s">
        <v>24</v>
      </c>
      <c r="S52" s="62"/>
      <c r="T52" s="62"/>
    </row>
    <row r="53" spans="1:34" ht="12.75" customHeight="1">
      <c r="A53" s="25" t="s">
        <v>26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R53" s="62" t="s">
        <v>25</v>
      </c>
      <c r="S53" s="62"/>
      <c r="T53" s="62"/>
    </row>
    <row r="54" spans="1:34">
      <c r="A54" s="17" t="s">
        <v>27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3"/>
      <c r="R54" s="62" t="s">
        <v>28</v>
      </c>
      <c r="S54" s="62"/>
      <c r="T54" s="62"/>
    </row>
    <row r="55" spans="1:34">
      <c r="A55" s="66" t="s">
        <v>29</v>
      </c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R55" s="62" t="s">
        <v>68</v>
      </c>
      <c r="S55" s="62"/>
      <c r="T55" s="62"/>
    </row>
    <row r="56" spans="1:34">
      <c r="A56" s="66" t="s">
        <v>39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R56" s="62" t="s">
        <v>30</v>
      </c>
      <c r="S56" s="62"/>
      <c r="T56" s="62"/>
    </row>
    <row r="57" spans="1:34">
      <c r="A57" s="68" t="s">
        <v>86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R57" s="62" t="s">
        <v>49</v>
      </c>
      <c r="S57" s="62"/>
      <c r="T57" s="62"/>
    </row>
    <row r="58" spans="1:34" s="20" customFormat="1" ht="12.75" customHeight="1">
      <c r="A58" s="64" t="s">
        <v>66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R58" s="62" t="s">
        <v>63</v>
      </c>
      <c r="S58" s="62"/>
      <c r="T58" s="62"/>
    </row>
    <row r="59" spans="1:34" s="20" customFormat="1" ht="12.75" customHeight="1">
      <c r="A59" s="64" t="s">
        <v>31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R59" s="62" t="s">
        <v>61</v>
      </c>
      <c r="S59" s="62"/>
      <c r="T59" s="62"/>
    </row>
    <row r="60" spans="1:34" s="20" customFormat="1" ht="14.25" customHeight="1">
      <c r="A60" s="64" t="s">
        <v>43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</row>
    <row r="61" spans="1:34" ht="7.5" customHeight="1" thickBo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</row>
    <row r="62" spans="1:34">
      <c r="A62" s="61" t="s">
        <v>81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</row>
  </sheetData>
  <sheetProtection algorithmName="SHA-512" hashValue="6WyMhG08ZYJGDTOCJ8pGfufk6yRwosY2yYomwsAN+HHumG9bjPFR9aQNgAATiP69aKq49gwzyjZ7QQgV5D+gkA==" saltValue="PTewwCTFyztqPcB60gQqUA==" spinCount="100000" sheet="1" objects="1" scenarios="1"/>
  <protectedRanges>
    <protectedRange sqref="H36:M36 H41:M41 H46:J46 I51:K51 A56:P56 R52:T59 R5:U10 R24:S26 L52:N52 F52:H52" name="Range1"/>
    <protectedRange sqref="A7 K31:K32" name="Range2"/>
    <protectedRange sqref="E12:H13" name="Range1_1"/>
    <protectedRange sqref="M9:P14" name="Range1_2"/>
    <protectedRange sqref="M7:P7" name="Range3"/>
  </protectedRanges>
  <mergeCells count="78">
    <mergeCell ref="A16:H16"/>
    <mergeCell ref="I16:P16"/>
    <mergeCell ref="M15:P15"/>
    <mergeCell ref="M10:P10"/>
    <mergeCell ref="R10:U10"/>
    <mergeCell ref="E12:H12"/>
    <mergeCell ref="A13:D13"/>
    <mergeCell ref="E13:H13"/>
    <mergeCell ref="A14:D14"/>
    <mergeCell ref="E14:H14"/>
    <mergeCell ref="R57:T57"/>
    <mergeCell ref="R6:U6"/>
    <mergeCell ref="R7:U7"/>
    <mergeCell ref="R8:U8"/>
    <mergeCell ref="R9:U9"/>
    <mergeCell ref="R53:T53"/>
    <mergeCell ref="R54:T54"/>
    <mergeCell ref="R55:T55"/>
    <mergeCell ref="R56:T56"/>
    <mergeCell ref="L25:M25"/>
    <mergeCell ref="R5:U5"/>
    <mergeCell ref="D37:G37"/>
    <mergeCell ref="D42:G42"/>
    <mergeCell ref="D47:G47"/>
    <mergeCell ref="E28:G28"/>
    <mergeCell ref="H28:J28"/>
    <mergeCell ref="K28:M28"/>
    <mergeCell ref="D41:G41"/>
    <mergeCell ref="M11:P11"/>
    <mergeCell ref="M12:P12"/>
    <mergeCell ref="M7:P7"/>
    <mergeCell ref="M8:P8"/>
    <mergeCell ref="M9:P9"/>
    <mergeCell ref="M13:P13"/>
    <mergeCell ref="M14:P14"/>
    <mergeCell ref="A28:D29"/>
    <mergeCell ref="A4:C4"/>
    <mergeCell ref="A5:C5"/>
    <mergeCell ref="M6:P6"/>
    <mergeCell ref="D1:M5"/>
    <mergeCell ref="N3:P3"/>
    <mergeCell ref="L22:M22"/>
    <mergeCell ref="N28:P28"/>
    <mergeCell ref="E29:G29"/>
    <mergeCell ref="H29:J29"/>
    <mergeCell ref="K29:M29"/>
    <mergeCell ref="N29:P29"/>
    <mergeCell ref="A15:D15"/>
    <mergeCell ref="E15:H15"/>
    <mergeCell ref="I15:L15"/>
    <mergeCell ref="A12:D12"/>
    <mergeCell ref="F52:H52"/>
    <mergeCell ref="I52:K52"/>
    <mergeCell ref="L52:N52"/>
    <mergeCell ref="D35:G35"/>
    <mergeCell ref="D36:G36"/>
    <mergeCell ref="D40:G40"/>
    <mergeCell ref="D45:G45"/>
    <mergeCell ref="D46:G46"/>
    <mergeCell ref="C51:E51"/>
    <mergeCell ref="F51:H51"/>
    <mergeCell ref="D48:O49"/>
    <mergeCell ref="A62:P62"/>
    <mergeCell ref="R58:T58"/>
    <mergeCell ref="R59:T59"/>
    <mergeCell ref="V36:X36"/>
    <mergeCell ref="A60:P60"/>
    <mergeCell ref="A61:P61"/>
    <mergeCell ref="A55:P55"/>
    <mergeCell ref="S47:AH47"/>
    <mergeCell ref="A56:P56"/>
    <mergeCell ref="A57:P57"/>
    <mergeCell ref="A58:P58"/>
    <mergeCell ref="A59:P59"/>
    <mergeCell ref="I51:K51"/>
    <mergeCell ref="R52:T52"/>
    <mergeCell ref="L51:N51"/>
    <mergeCell ref="C52:E52"/>
  </mergeCells>
  <phoneticPr fontId="0" type="noConversion"/>
  <conditionalFormatting sqref="E12:H12">
    <cfRule type="cellIs" dxfId="25" priority="12" operator="lessThan">
      <formula>$M$10-6</formula>
    </cfRule>
    <cfRule type="cellIs" dxfId="24" priority="13" operator="greaterThan">
      <formula>$M$10</formula>
    </cfRule>
  </conditionalFormatting>
  <conditionalFormatting sqref="H29:J29">
    <cfRule type="cellIs" dxfId="23" priority="45" stopIfTrue="1" operator="lessThan">
      <formula>18.5</formula>
    </cfRule>
    <cfRule type="cellIs" dxfId="22" priority="46" stopIfTrue="1" operator="greaterThan">
      <formula>21.5</formula>
    </cfRule>
  </conditionalFormatting>
  <conditionalFormatting sqref="H47:J47">
    <cfRule type="cellIs" dxfId="21" priority="39" stopIfTrue="1" operator="lessThan">
      <formula>-0.05</formula>
    </cfRule>
    <cfRule type="cellIs" dxfId="20" priority="40" stopIfTrue="1" operator="greaterThan">
      <formula>0.05</formula>
    </cfRule>
  </conditionalFormatting>
  <conditionalFormatting sqref="H37:M37">
    <cfRule type="cellIs" dxfId="19" priority="43" stopIfTrue="1" operator="lessThan">
      <formula>-0.05</formula>
    </cfRule>
    <cfRule type="cellIs" dxfId="18" priority="44" stopIfTrue="1" operator="greaterThan">
      <formula>0.05</formula>
    </cfRule>
  </conditionalFormatting>
  <conditionalFormatting sqref="H42:M42">
    <cfRule type="cellIs" dxfId="17" priority="41" stopIfTrue="1" operator="lessThan">
      <formula>-0.05</formula>
    </cfRule>
    <cfRule type="cellIs" dxfId="16" priority="42" stopIfTrue="1" operator="greaterThan">
      <formula>0.05</formula>
    </cfRule>
  </conditionalFormatting>
  <conditionalFormatting sqref="K31:K32">
    <cfRule type="cellIs" dxfId="15" priority="38" stopIfTrue="1" operator="greaterThan">
      <formula>0.05</formula>
    </cfRule>
  </conditionalFormatting>
  <conditionalFormatting sqref="L22:M22">
    <cfRule type="cellIs" dxfId="14" priority="14" stopIfTrue="1" operator="between">
      <formula>$R$20</formula>
      <formula>$R$20+7</formula>
    </cfRule>
    <cfRule type="cellIs" dxfId="13" priority="15" stopIfTrue="1" operator="lessThan">
      <formula>$R$20</formula>
    </cfRule>
  </conditionalFormatting>
  <conditionalFormatting sqref="L25:M25">
    <cfRule type="cellIs" dxfId="12" priority="32" stopIfTrue="1" operator="between">
      <formula>$R$19</formula>
      <formula>$R$19+7</formula>
    </cfRule>
    <cfRule type="cellIs" dxfId="11" priority="33" stopIfTrue="1" operator="lessThan">
      <formula>$R$19</formula>
    </cfRule>
  </conditionalFormatting>
  <conditionalFormatting sqref="M10:P10">
    <cfRule type="cellIs" dxfId="10" priority="2" operator="greaterThan">
      <formula>$R$20</formula>
    </cfRule>
  </conditionalFormatting>
  <conditionalFormatting sqref="M10:P11">
    <cfRule type="cellIs" dxfId="9" priority="1" operator="lessThan">
      <formula>$R$20-15</formula>
    </cfRule>
  </conditionalFormatting>
  <conditionalFormatting sqref="M11:P11">
    <cfRule type="cellIs" dxfId="8" priority="4" operator="greaterThan">
      <formula>$M$10+6</formula>
    </cfRule>
    <cfRule type="cellIs" dxfId="7" priority="5" operator="lessThan">
      <formula>$M$10</formula>
    </cfRule>
    <cfRule type="cellIs" dxfId="6" priority="6" operator="greaterThan">
      <formula>$R$20</formula>
    </cfRule>
  </conditionalFormatting>
  <conditionalFormatting sqref="M13:P13">
    <cfRule type="expression" dxfId="5" priority="9">
      <formula>LEN($M$13)&lt;14</formula>
    </cfRule>
    <cfRule type="expression" dxfId="4" priority="10">
      <formula>LEN($M$13)&gt;14</formula>
    </cfRule>
  </conditionalFormatting>
  <conditionalFormatting sqref="M14:P14">
    <cfRule type="expression" dxfId="3" priority="7">
      <formula>LEN($M$14)&lt;22</formula>
    </cfRule>
    <cfRule type="expression" dxfId="2" priority="8">
      <formula>LEN($M$14)&gt;22</formula>
    </cfRule>
  </conditionalFormatting>
  <conditionalFormatting sqref="N29:P29">
    <cfRule type="cellIs" dxfId="1" priority="47" stopIfTrue="1" operator="lessThan">
      <formula>0.4</formula>
    </cfRule>
    <cfRule type="cellIs" dxfId="0" priority="48" stopIfTrue="1" operator="greaterThan">
      <formula>0.6</formula>
    </cfRule>
  </conditionalFormatting>
  <printOptions horizontalCentered="1"/>
  <pageMargins left="0.23622047244094499" right="0.23622047244094499" top="0.74803149606299202" bottom="0.74803149606299202" header="0.31496062992126" footer="0.31496062992126"/>
  <pageSetup paperSize="9" scale="89" firstPageNumber="0" orientation="portrait" r:id="rId1"/>
  <headerFooter alignWithMargins="0">
    <oddFooter>&amp;CPage 01 of 01&amp;RLAB/F/25  Rev:06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VC (0-150)</vt:lpstr>
      <vt:lpstr>Chart1</vt:lpstr>
      <vt:lpstr>'VC (0-150)'!Print_Area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SANSERA</dc:creator>
  <cp:lastModifiedBy>Roopa B N</cp:lastModifiedBy>
  <cp:lastPrinted>2024-11-19T07:45:52Z</cp:lastPrinted>
  <dcterms:created xsi:type="dcterms:W3CDTF">2018-02-13T12:16:53Z</dcterms:created>
  <dcterms:modified xsi:type="dcterms:W3CDTF">2025-01-30T10:11:31Z</dcterms:modified>
</cp:coreProperties>
</file>