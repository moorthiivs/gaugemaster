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ugemaster\gaugemaster\frontend\"/>
    </mc:Choice>
  </mc:AlternateContent>
  <bookViews>
    <workbookView xWindow="0" yWindow="0" windowWidth="23040" windowHeight="8496"/>
  </bookViews>
  <sheets>
    <sheet name="Sheet2" sheetId="2" r:id="rId1"/>
  </sheets>
  <calcPr calcId="162913"/>
</workbook>
</file>

<file path=xl/calcChain.xml><?xml version="1.0" encoding="utf-8"?>
<calcChain xmlns="http://schemas.openxmlformats.org/spreadsheetml/2006/main">
  <c r="R11" i="2" l="1"/>
  <c r="R10" i="2" l="1"/>
  <c r="R9" i="2"/>
  <c r="R8" i="2"/>
  <c r="R7" i="2"/>
  <c r="R6" i="2"/>
  <c r="R5" i="2"/>
  <c r="R4" i="2"/>
  <c r="R3" i="2"/>
  <c r="R2" i="2" l="1"/>
</calcChain>
</file>

<file path=xl/sharedStrings.xml><?xml version="1.0" encoding="utf-8"?>
<sst xmlns="http://schemas.openxmlformats.org/spreadsheetml/2006/main" count="210" uniqueCount="78">
  <si>
    <t>P.Sl.No</t>
  </si>
  <si>
    <t>Items Status</t>
  </si>
  <si>
    <t>IMTE</t>
  </si>
  <si>
    <t>Description</t>
  </si>
  <si>
    <t>RANGE</t>
  </si>
  <si>
    <t>Items Sl.No / Model</t>
  </si>
  <si>
    <t>Item Make</t>
  </si>
  <si>
    <t>Least Count</t>
  </si>
  <si>
    <t>Item Type</t>
  </si>
  <si>
    <t>PART NO</t>
  </si>
  <si>
    <t>Part Name</t>
  </si>
  <si>
    <t>Item Location</t>
  </si>
  <si>
    <t>Moudle</t>
  </si>
  <si>
    <t>Calibration Source</t>
  </si>
  <si>
    <t>CALIB. FREQUENCY in month</t>
  </si>
  <si>
    <t>Last Cal. Date</t>
  </si>
  <si>
    <t>Next Cal. Date</t>
  </si>
  <si>
    <t>Calibration Status</t>
  </si>
  <si>
    <t>Remarks</t>
  </si>
  <si>
    <t>Gauge Issue Date</t>
  </si>
  <si>
    <t>Gauges Received By</t>
  </si>
  <si>
    <t>Gaues Issued By</t>
  </si>
  <si>
    <t>Customer</t>
  </si>
  <si>
    <t>Sector</t>
  </si>
  <si>
    <t>Active</t>
  </si>
  <si>
    <t>PG649/02</t>
  </si>
  <si>
    <t>PLUG GAUGE</t>
  </si>
  <si>
    <t>34.800/35.000</t>
  </si>
  <si>
    <t>*</t>
  </si>
  <si>
    <t>NA</t>
  </si>
  <si>
    <t>attribute</t>
  </si>
  <si>
    <t>OP989</t>
  </si>
  <si>
    <t>AL ASSEMBLY</t>
  </si>
  <si>
    <t>M&amp;M Plant</t>
  </si>
  <si>
    <t>Inhouse-Gauges</t>
  </si>
  <si>
    <t>6 MONTH</t>
  </si>
  <si>
    <t>Pavi</t>
  </si>
  <si>
    <t>M&amp;M</t>
  </si>
  <si>
    <t>Automotive</t>
  </si>
  <si>
    <t>Criticality Level</t>
  </si>
  <si>
    <t>Calibration Procedure&amp; Ref Std</t>
  </si>
  <si>
    <t>Service Provider</t>
  </si>
  <si>
    <t>Traceable</t>
  </si>
  <si>
    <t>Cert. No.</t>
  </si>
  <si>
    <t>CCG014/01</t>
  </si>
  <si>
    <t>CONCENTRICITY GAUGE</t>
  </si>
  <si>
    <t>20.830/18.010</t>
  </si>
  <si>
    <t>2 MONTH</t>
  </si>
  <si>
    <t>Manivannan.C</t>
  </si>
  <si>
    <t>PG658/01</t>
  </si>
  <si>
    <t>20.800/20.852</t>
  </si>
  <si>
    <t xml:space="preserve">M&amp;M </t>
  </si>
  <si>
    <t>M&amp;M FARM</t>
  </si>
  <si>
    <t>Non Automotive</t>
  </si>
  <si>
    <t>PG589/02</t>
  </si>
  <si>
    <t>19.900/20.100</t>
  </si>
  <si>
    <t>PG705/01</t>
  </si>
  <si>
    <t>41.500/41.700</t>
  </si>
  <si>
    <t>PG824/02</t>
  </si>
  <si>
    <t>32.100/31.900</t>
  </si>
  <si>
    <t>SPG952/01</t>
  </si>
  <si>
    <t>SPECIAL GAUGE</t>
  </si>
  <si>
    <t>SUMP FACE HEIGHT</t>
  </si>
  <si>
    <t>CCG059/01</t>
  </si>
  <si>
    <t>52.000/61.928</t>
  </si>
  <si>
    <t>OP772</t>
  </si>
  <si>
    <t>M&amp;M  M/C SHOP</t>
  </si>
  <si>
    <t>DI828</t>
  </si>
  <si>
    <t>DIAL INDICATOR</t>
  </si>
  <si>
    <t>0.010 ~10.000 mm</t>
  </si>
  <si>
    <t>0.01MM</t>
  </si>
  <si>
    <t>MITYTOYO</t>
  </si>
  <si>
    <t>ANALOG</t>
  </si>
  <si>
    <t>ASSY</t>
  </si>
  <si>
    <t>Inhouse-Instruments</t>
  </si>
  <si>
    <t>SPG953/01</t>
  </si>
  <si>
    <t>Is Reference Standard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</si>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</sst>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2" borderId="0">
      <alignment wrapText="1"/>
    </xf>
  </cellStyleXfs>
  <cellXfs count="16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14" fontId="5" fillId="0" borderId="1" xfId="1" quotePrefix="1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3">
    <cellStyle name="Due SOON" xfId="2"/>
    <cellStyle name="Normal" xfId="0" builtinId="0"/>
    <cellStyle name="Normal 2 2" xfId="1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L1" workbookViewId="0">
      <selection activeCell="AE8" sqref="AE8"/>
    </sheetView>
  </sheetViews>
  <sheetFormatPr defaultRowHeight="14.4" x14ac:dyDescent="0.3"/>
  <cols>
    <col min="25" max="25" width="11.33203125" bestFit="1" customWidth="1"/>
    <col min="30" max="30" width="19.5546875" bestFit="1" customWidth="1"/>
  </cols>
  <sheetData>
    <row r="1" spans="1:30" ht="38.25" customHeight="1" x14ac:dyDescent="0.3">
      <c r="A1" s="8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6" t="s">
        <v>39</v>
      </c>
      <c r="Z1" s="7" t="s">
        <v>40</v>
      </c>
      <c r="AA1" s="7" t="s">
        <v>41</v>
      </c>
      <c r="AB1" s="7" t="s">
        <v>42</v>
      </c>
      <c r="AC1" s="7" t="s">
        <v>43</v>
      </c>
      <c r="AD1" s="15" t="s">
        <v>76</v>
      </c>
    </row>
    <row r="2" spans="1:30" ht="21.75" customHeight="1" x14ac:dyDescent="0.3">
      <c r="A2" s="1">
        <v>1</v>
      </c>
      <c r="B2" s="2" t="s">
        <v>24</v>
      </c>
      <c r="C2" s="1" t="s">
        <v>25</v>
      </c>
      <c r="D2" s="1" t="s">
        <v>26</v>
      </c>
      <c r="E2" s="2" t="s">
        <v>27</v>
      </c>
      <c r="F2" s="3" t="s">
        <v>28</v>
      </c>
      <c r="G2" s="3" t="s">
        <v>28</v>
      </c>
      <c r="H2" s="3" t="s">
        <v>29</v>
      </c>
      <c r="I2" s="3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3" t="s">
        <v>34</v>
      </c>
      <c r="O2" s="2" t="s">
        <v>35</v>
      </c>
      <c r="P2" s="4">
        <v>46040</v>
      </c>
      <c r="Q2" s="4">
        <v>46221</v>
      </c>
      <c r="R2" s="5" t="str">
        <f ca="1">IF(ISBLANK(Q2),"NO PLAN",IF(Q2&lt;TODAY(),"OVER DUE",IF(Q2&lt;=TODAY()+3,"DUE SOON","OK")))</f>
        <v>OVER DUE</v>
      </c>
      <c r="S2" s="4"/>
      <c r="T2" s="3"/>
      <c r="U2" s="3" t="s">
        <v>36</v>
      </c>
      <c r="V2" s="3" t="s">
        <v>36</v>
      </c>
      <c r="W2" s="3" t="s">
        <v>37</v>
      </c>
      <c r="X2" s="3" t="s">
        <v>38</v>
      </c>
      <c r="Y2" s="10"/>
      <c r="Z2" s="10"/>
      <c r="AA2" s="10"/>
      <c r="AB2" s="10"/>
      <c r="AC2" s="10"/>
    </row>
    <row r="3" spans="1:30" ht="21.75" customHeight="1" x14ac:dyDescent="0.3">
      <c r="A3" s="1">
        <v>2</v>
      </c>
      <c r="B3" s="2" t="s">
        <v>24</v>
      </c>
      <c r="C3" s="1" t="s">
        <v>44</v>
      </c>
      <c r="D3" s="2" t="s">
        <v>45</v>
      </c>
      <c r="E3" s="2" t="s">
        <v>46</v>
      </c>
      <c r="F3" s="3" t="s">
        <v>28</v>
      </c>
      <c r="G3" s="3" t="s">
        <v>28</v>
      </c>
      <c r="H3" s="3" t="s">
        <v>29</v>
      </c>
      <c r="I3" s="3" t="s">
        <v>30</v>
      </c>
      <c r="J3" s="2" t="s">
        <v>31</v>
      </c>
      <c r="K3" s="2" t="s">
        <v>31</v>
      </c>
      <c r="L3" s="2" t="s">
        <v>32</v>
      </c>
      <c r="M3" s="2" t="s">
        <v>33</v>
      </c>
      <c r="N3" s="3" t="s">
        <v>34</v>
      </c>
      <c r="O3" s="2" t="s">
        <v>47</v>
      </c>
      <c r="P3" s="4">
        <v>46088</v>
      </c>
      <c r="Q3" s="4">
        <v>46149</v>
      </c>
      <c r="R3" s="5" t="str">
        <f t="shared" ref="R3:R10" ca="1" si="0">IF(ISBLANK(Q3),"NO PLAN",IF(Q3&lt;TODAY(),"OVER DUE",IF(Q3&lt;=TODAY()+7,"DUE SOON","OK")))</f>
        <v>OVER DUE</v>
      </c>
      <c r="S3" s="11"/>
      <c r="T3" s="3"/>
      <c r="U3" s="3" t="s">
        <v>48</v>
      </c>
      <c r="V3" s="3" t="s">
        <v>36</v>
      </c>
      <c r="W3" s="3" t="s">
        <v>37</v>
      </c>
      <c r="X3" s="3" t="s">
        <v>38</v>
      </c>
      <c r="Y3" s="10"/>
      <c r="Z3" s="10"/>
      <c r="AA3" s="10"/>
      <c r="AB3" s="10"/>
      <c r="AC3" s="10"/>
    </row>
    <row r="4" spans="1:30" ht="21.75" customHeight="1" x14ac:dyDescent="0.3">
      <c r="A4" s="1">
        <v>3</v>
      </c>
      <c r="B4" s="2" t="s">
        <v>24</v>
      </c>
      <c r="C4" s="1" t="s">
        <v>49</v>
      </c>
      <c r="D4" s="1" t="s">
        <v>26</v>
      </c>
      <c r="E4" s="2" t="s">
        <v>50</v>
      </c>
      <c r="F4" s="3" t="s">
        <v>28</v>
      </c>
      <c r="G4" s="3" t="s">
        <v>28</v>
      </c>
      <c r="H4" s="3" t="s">
        <v>29</v>
      </c>
      <c r="I4" s="3" t="s">
        <v>30</v>
      </c>
      <c r="J4" s="2" t="s">
        <v>31</v>
      </c>
      <c r="K4" s="2" t="s">
        <v>31</v>
      </c>
      <c r="L4" s="2" t="s">
        <v>51</v>
      </c>
      <c r="M4" s="2" t="s">
        <v>33</v>
      </c>
      <c r="N4" s="3" t="s">
        <v>34</v>
      </c>
      <c r="O4" s="2" t="s">
        <v>35</v>
      </c>
      <c r="P4" s="4">
        <v>46031</v>
      </c>
      <c r="Q4" s="4">
        <v>46212</v>
      </c>
      <c r="R4" s="5" t="str">
        <f t="shared" ca="1" si="0"/>
        <v>OVER DUE</v>
      </c>
      <c r="S4" s="11"/>
      <c r="T4" s="3"/>
      <c r="U4" s="3" t="s">
        <v>48</v>
      </c>
      <c r="V4" s="3" t="s">
        <v>36</v>
      </c>
      <c r="W4" s="3" t="s">
        <v>52</v>
      </c>
      <c r="X4" s="3" t="s">
        <v>53</v>
      </c>
      <c r="Y4" s="10"/>
      <c r="Z4" s="10"/>
      <c r="AA4" s="10"/>
      <c r="AB4" s="10"/>
      <c r="AC4" s="10"/>
    </row>
    <row r="5" spans="1:30" ht="21.75" customHeight="1" x14ac:dyDescent="0.3">
      <c r="A5" s="1">
        <v>4</v>
      </c>
      <c r="B5" s="2" t="s">
        <v>24</v>
      </c>
      <c r="C5" s="1" t="s">
        <v>54</v>
      </c>
      <c r="D5" s="1" t="s">
        <v>26</v>
      </c>
      <c r="E5" s="2" t="s">
        <v>55</v>
      </c>
      <c r="F5" s="3" t="s">
        <v>28</v>
      </c>
      <c r="G5" s="3" t="s">
        <v>28</v>
      </c>
      <c r="H5" s="3" t="s">
        <v>29</v>
      </c>
      <c r="I5" s="3" t="s">
        <v>30</v>
      </c>
      <c r="J5" s="2" t="s">
        <v>31</v>
      </c>
      <c r="K5" s="2" t="s">
        <v>31</v>
      </c>
      <c r="L5" s="2" t="s">
        <v>32</v>
      </c>
      <c r="M5" s="2" t="s">
        <v>33</v>
      </c>
      <c r="N5" s="3" t="s">
        <v>34</v>
      </c>
      <c r="O5" s="2" t="s">
        <v>35</v>
      </c>
      <c r="P5" s="4">
        <v>46040</v>
      </c>
      <c r="Q5" s="4">
        <v>46221</v>
      </c>
      <c r="R5" s="5" t="str">
        <f t="shared" ca="1" si="0"/>
        <v>OVER DUE</v>
      </c>
      <c r="S5" s="4"/>
      <c r="T5" s="3"/>
      <c r="U5" s="3" t="s">
        <v>48</v>
      </c>
      <c r="V5" s="3" t="s">
        <v>36</v>
      </c>
      <c r="W5" s="3" t="s">
        <v>37</v>
      </c>
      <c r="X5" s="3" t="s">
        <v>38</v>
      </c>
      <c r="Y5" s="10"/>
      <c r="Z5" s="10"/>
      <c r="AA5" s="10"/>
      <c r="AB5" s="10"/>
      <c r="AC5" s="10"/>
    </row>
    <row r="6" spans="1:30" ht="21.75" customHeight="1" x14ac:dyDescent="0.3">
      <c r="A6" s="1">
        <v>5</v>
      </c>
      <c r="B6" s="2" t="s">
        <v>24</v>
      </c>
      <c r="C6" s="1" t="s">
        <v>56</v>
      </c>
      <c r="D6" s="1" t="s">
        <v>26</v>
      </c>
      <c r="E6" s="2" t="s">
        <v>57</v>
      </c>
      <c r="F6" s="3" t="s">
        <v>28</v>
      </c>
      <c r="G6" s="3" t="s">
        <v>28</v>
      </c>
      <c r="H6" s="3" t="s">
        <v>29</v>
      </c>
      <c r="I6" s="3" t="s">
        <v>30</v>
      </c>
      <c r="J6" s="2" t="s">
        <v>31</v>
      </c>
      <c r="K6" s="2" t="s">
        <v>31</v>
      </c>
      <c r="L6" s="2" t="s">
        <v>32</v>
      </c>
      <c r="M6" s="2" t="s">
        <v>33</v>
      </c>
      <c r="N6" s="3" t="s">
        <v>34</v>
      </c>
      <c r="O6" s="2" t="s">
        <v>35</v>
      </c>
      <c r="P6" s="4">
        <v>46040</v>
      </c>
      <c r="Q6" s="4">
        <v>46221</v>
      </c>
      <c r="R6" s="5" t="str">
        <f t="shared" ca="1" si="0"/>
        <v>OVER DUE</v>
      </c>
      <c r="S6" s="4"/>
      <c r="T6" s="3"/>
      <c r="U6" s="3" t="s">
        <v>36</v>
      </c>
      <c r="V6" s="3" t="s">
        <v>36</v>
      </c>
      <c r="W6" s="3" t="s">
        <v>37</v>
      </c>
      <c r="X6" s="3" t="s">
        <v>38</v>
      </c>
      <c r="Y6" s="10"/>
      <c r="Z6" s="10"/>
      <c r="AA6" s="10"/>
      <c r="AB6" s="10"/>
      <c r="AC6" s="10"/>
    </row>
    <row r="7" spans="1:30" ht="21.75" customHeight="1" x14ac:dyDescent="0.3">
      <c r="A7" s="1">
        <v>6</v>
      </c>
      <c r="B7" s="2" t="s">
        <v>24</v>
      </c>
      <c r="C7" s="1" t="s">
        <v>58</v>
      </c>
      <c r="D7" s="1" t="s">
        <v>26</v>
      </c>
      <c r="E7" s="2" t="s">
        <v>59</v>
      </c>
      <c r="F7" s="3" t="s">
        <v>28</v>
      </c>
      <c r="G7" s="3" t="s">
        <v>28</v>
      </c>
      <c r="H7" s="3" t="s">
        <v>29</v>
      </c>
      <c r="I7" s="3" t="s">
        <v>30</v>
      </c>
      <c r="J7" s="2" t="s">
        <v>31</v>
      </c>
      <c r="K7" s="2" t="s">
        <v>31</v>
      </c>
      <c r="L7" s="2" t="s">
        <v>32</v>
      </c>
      <c r="M7" s="2" t="s">
        <v>33</v>
      </c>
      <c r="N7" s="3" t="s">
        <v>34</v>
      </c>
      <c r="O7" s="2" t="s">
        <v>35</v>
      </c>
      <c r="P7" s="4">
        <v>46040</v>
      </c>
      <c r="Q7" s="4">
        <v>46221</v>
      </c>
      <c r="R7" s="5" t="str">
        <f t="shared" ca="1" si="0"/>
        <v>OVER DUE</v>
      </c>
      <c r="S7" s="4"/>
      <c r="T7" s="3"/>
      <c r="U7" s="3" t="s">
        <v>36</v>
      </c>
      <c r="V7" s="3" t="s">
        <v>36</v>
      </c>
      <c r="W7" s="3" t="s">
        <v>37</v>
      </c>
      <c r="X7" s="3" t="s">
        <v>38</v>
      </c>
      <c r="Y7" s="10"/>
      <c r="Z7" s="10"/>
      <c r="AA7" s="10"/>
      <c r="AB7" s="10"/>
      <c r="AC7" s="10"/>
    </row>
    <row r="8" spans="1:30" ht="21.75" customHeight="1" x14ac:dyDescent="0.3">
      <c r="A8" s="1">
        <v>7</v>
      </c>
      <c r="B8" s="2" t="s">
        <v>24</v>
      </c>
      <c r="C8" s="1" t="s">
        <v>60</v>
      </c>
      <c r="D8" s="2" t="s">
        <v>61</v>
      </c>
      <c r="E8" s="2" t="s">
        <v>62</v>
      </c>
      <c r="F8" s="3" t="s">
        <v>28</v>
      </c>
      <c r="G8" s="3" t="s">
        <v>28</v>
      </c>
      <c r="H8" s="3" t="s">
        <v>29</v>
      </c>
      <c r="I8" s="3" t="s">
        <v>30</v>
      </c>
      <c r="J8" s="2" t="s">
        <v>31</v>
      </c>
      <c r="K8" s="2" t="s">
        <v>31</v>
      </c>
      <c r="L8" s="2" t="s">
        <v>32</v>
      </c>
      <c r="M8" s="2" t="s">
        <v>33</v>
      </c>
      <c r="N8" s="3" t="s">
        <v>34</v>
      </c>
      <c r="O8" s="2" t="s">
        <v>35</v>
      </c>
      <c r="P8" s="4">
        <v>46023</v>
      </c>
      <c r="Q8" s="4">
        <v>46204</v>
      </c>
      <c r="R8" s="5" t="str">
        <f t="shared" ca="1" si="0"/>
        <v>OVER DUE</v>
      </c>
      <c r="S8" s="4"/>
      <c r="T8" s="3"/>
      <c r="U8" s="3" t="s">
        <v>36</v>
      </c>
      <c r="V8" s="3" t="s">
        <v>36</v>
      </c>
      <c r="W8" s="3" t="s">
        <v>37</v>
      </c>
      <c r="X8" s="3" t="s">
        <v>38</v>
      </c>
      <c r="Y8" s="10"/>
      <c r="Z8" s="10"/>
      <c r="AA8" s="10"/>
      <c r="AB8" s="10"/>
      <c r="AC8" s="10"/>
    </row>
    <row r="9" spans="1:30" ht="21.75" customHeight="1" x14ac:dyDescent="0.3">
      <c r="A9" s="1">
        <v>8</v>
      </c>
      <c r="B9" s="2" t="s">
        <v>24</v>
      </c>
      <c r="C9" s="1" t="s">
        <v>63</v>
      </c>
      <c r="D9" s="2" t="s">
        <v>45</v>
      </c>
      <c r="E9" s="2" t="s">
        <v>64</v>
      </c>
      <c r="F9" s="3" t="s">
        <v>28</v>
      </c>
      <c r="G9" s="3" t="s">
        <v>28</v>
      </c>
      <c r="H9" s="3" t="s">
        <v>29</v>
      </c>
      <c r="I9" s="3" t="s">
        <v>30</v>
      </c>
      <c r="J9" s="2" t="s">
        <v>65</v>
      </c>
      <c r="K9" s="2" t="s">
        <v>65</v>
      </c>
      <c r="L9" s="2" t="s">
        <v>66</v>
      </c>
      <c r="M9" s="2" t="s">
        <v>33</v>
      </c>
      <c r="N9" s="3" t="s">
        <v>34</v>
      </c>
      <c r="O9" s="2" t="s">
        <v>35</v>
      </c>
      <c r="P9" s="4">
        <v>46050</v>
      </c>
      <c r="Q9" s="4">
        <v>46231</v>
      </c>
      <c r="R9" s="5" t="str">
        <f t="shared" ca="1" si="0"/>
        <v>DUE SOON</v>
      </c>
      <c r="S9" s="4"/>
      <c r="T9" s="3"/>
      <c r="U9" s="3" t="s">
        <v>36</v>
      </c>
      <c r="V9" s="3" t="s">
        <v>36</v>
      </c>
      <c r="W9" s="3" t="s">
        <v>37</v>
      </c>
      <c r="X9" s="3" t="s">
        <v>38</v>
      </c>
      <c r="Y9" s="10"/>
      <c r="Z9" s="10"/>
      <c r="AA9" s="10"/>
      <c r="AB9" s="10"/>
      <c r="AC9" s="10"/>
    </row>
    <row r="10" spans="1:30" ht="21.75" customHeight="1" x14ac:dyDescent="0.3">
      <c r="A10" s="12">
        <v>9</v>
      </c>
      <c r="B10" s="3" t="s">
        <v>24</v>
      </c>
      <c r="C10" s="1" t="s">
        <v>67</v>
      </c>
      <c r="D10" s="12" t="s">
        <v>68</v>
      </c>
      <c r="E10" s="12" t="s">
        <v>69</v>
      </c>
      <c r="F10" s="13" t="s">
        <v>70</v>
      </c>
      <c r="G10" s="12" t="s">
        <v>71</v>
      </c>
      <c r="H10" s="3"/>
      <c r="I10" s="12" t="s">
        <v>72</v>
      </c>
      <c r="J10" s="12" t="s">
        <v>31</v>
      </c>
      <c r="K10" s="12" t="s">
        <v>37</v>
      </c>
      <c r="L10" s="12" t="s">
        <v>73</v>
      </c>
      <c r="M10" s="12" t="s">
        <v>33</v>
      </c>
      <c r="N10" s="3" t="s">
        <v>74</v>
      </c>
      <c r="O10" s="12" t="s">
        <v>35</v>
      </c>
      <c r="P10" s="14">
        <v>46026</v>
      </c>
      <c r="Q10" s="14">
        <v>46207</v>
      </c>
      <c r="R10" s="5" t="str">
        <f t="shared" ca="1" si="0"/>
        <v>OVER DUE</v>
      </c>
      <c r="S10" s="14"/>
      <c r="T10" s="5">
        <v>45842</v>
      </c>
      <c r="U10" s="3" t="s">
        <v>36</v>
      </c>
      <c r="V10" s="3" t="s">
        <v>36</v>
      </c>
      <c r="W10" s="12" t="s">
        <v>33</v>
      </c>
      <c r="X10" s="3" t="s">
        <v>38</v>
      </c>
      <c r="Y10" s="10"/>
      <c r="Z10" s="10"/>
      <c r="AA10" s="10"/>
      <c r="AB10" s="10"/>
      <c r="AC10" s="10"/>
    </row>
    <row r="11" spans="1:30" ht="21.75" customHeight="1" x14ac:dyDescent="0.3">
      <c r="A11" s="1">
        <v>10</v>
      </c>
      <c r="B11" s="2" t="s">
        <v>24</v>
      </c>
      <c r="C11" s="1" t="s">
        <v>75</v>
      </c>
      <c r="D11" s="2" t="s">
        <v>61</v>
      </c>
      <c r="E11" s="2" t="s">
        <v>62</v>
      </c>
      <c r="F11" s="3" t="s">
        <v>28</v>
      </c>
      <c r="G11" s="3" t="s">
        <v>28</v>
      </c>
      <c r="H11" s="3" t="s">
        <v>29</v>
      </c>
      <c r="I11" s="3" t="s">
        <v>30</v>
      </c>
      <c r="J11" s="2" t="s">
        <v>31</v>
      </c>
      <c r="K11" s="2" t="s">
        <v>31</v>
      </c>
      <c r="L11" s="2" t="s">
        <v>32</v>
      </c>
      <c r="M11" s="2" t="s">
        <v>33</v>
      </c>
      <c r="N11" s="3" t="s">
        <v>34</v>
      </c>
      <c r="O11" s="2" t="s">
        <v>35</v>
      </c>
      <c r="P11" s="4">
        <v>46023</v>
      </c>
      <c r="Q11" s="4">
        <v>46204</v>
      </c>
      <c r="R11" s="5" t="str">
        <f t="shared" ref="R11" ca="1" si="1">IF(ISBLANK(Q11),"NO PLAN",IF(Q11&lt;TODAY(),"OVER DUE",IF(Q11&lt;=TODAY()+7,"DUE SOON","OK")))</f>
        <v>OVER DUE</v>
      </c>
      <c r="S11" s="4"/>
      <c r="T11" s="3"/>
      <c r="U11" s="3" t="s">
        <v>36</v>
      </c>
      <c r="V11" s="3" t="s">
        <v>36</v>
      </c>
      <c r="W11" s="3" t="s">
        <v>37</v>
      </c>
      <c r="X11" s="3" t="s">
        <v>38</v>
      </c>
      <c r="Y11" s="10"/>
      <c r="Z11" s="10"/>
      <c r="AA11" s="10"/>
      <c r="AB11" s="10"/>
      <c r="AC11" s="10"/>
      <c r="AD11" t="s">
        <v>77</v>
      </c>
    </row>
  </sheetData>
  <conditionalFormatting sqref="R1:R2">
    <cfRule type="containsText" dxfId="14" priority="13" operator="containsText" text="DUE SOON">
      <formula>NOT(ISERROR(SEARCH("DUE SOON",R1)))</formula>
    </cfRule>
    <cfRule type="containsText" dxfId="13" priority="14" operator="containsText" text="OVER DUE">
      <formula>NOT(ISERROR(SEARCH("OVER DUE",R1)))</formula>
    </cfRule>
    <cfRule type="containsText" dxfId="12" priority="15" operator="containsText" text="OK">
      <formula>NOT(ISERROR(SEARCH("OK",R1)))</formula>
    </cfRule>
  </conditionalFormatting>
  <conditionalFormatting sqref="C1:C2">
    <cfRule type="duplicateValues" dxfId="11" priority="12"/>
  </conditionalFormatting>
  <conditionalFormatting sqref="C1:C2">
    <cfRule type="duplicateValues" dxfId="10" priority="11"/>
  </conditionalFormatting>
  <conditionalFormatting sqref="R3:R10">
    <cfRule type="containsText" dxfId="9" priority="8" operator="containsText" text="DUE SOON">
      <formula>NOT(ISERROR(SEARCH("DUE SOON",R3)))</formula>
    </cfRule>
    <cfRule type="containsText" dxfId="8" priority="9" operator="containsText" text="OVER DUE">
      <formula>NOT(ISERROR(SEARCH("OVER DUE",R3)))</formula>
    </cfRule>
    <cfRule type="containsText" dxfId="7" priority="10" operator="containsText" text="OK">
      <formula>NOT(ISERROR(SEARCH("OK",R3)))</formula>
    </cfRule>
  </conditionalFormatting>
  <conditionalFormatting sqref="C3:C10">
    <cfRule type="duplicateValues" dxfId="6" priority="7"/>
  </conditionalFormatting>
  <conditionalFormatting sqref="C3:C10">
    <cfRule type="duplicateValues" dxfId="5" priority="6"/>
  </conditionalFormatting>
  <conditionalFormatting sqref="R11">
    <cfRule type="containsText" dxfId="4" priority="3" operator="containsText" text="DUE SOON">
      <formula>NOT(ISERROR(SEARCH("DUE SOON",R11)))</formula>
    </cfRule>
    <cfRule type="containsText" dxfId="3" priority="4" operator="containsText" text="OVER DUE">
      <formula>NOT(ISERROR(SEARCH("OVER DUE",R11)))</formula>
    </cfRule>
    <cfRule type="containsText" dxfId="2" priority="5" operator="containsText" text="OK">
      <formula>NOT(ISERROR(SEARCH("OK",R11)))</formula>
    </cfRule>
  </conditionalFormatting>
  <conditionalFormatting sqref="C11">
    <cfRule type="duplicateValues" dxfId="1" priority="2"/>
  </conditionalFormatting>
  <conditionalFormatting sqref="C11">
    <cfRule type="duplicateValues" dxfId="0" priority="1"/>
  </conditionalFormatting>
  <dataValidations count="1">
    <dataValidation type="list" showInputMessage="1" showErrorMessage="1" sqref="O1:O11">
      <formula1>$O:$O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105855</dc:creator>
  <cp:lastModifiedBy>VC</cp:lastModifiedBy>
  <dcterms:created xsi:type="dcterms:W3CDTF">2026-05-15T09:05:41Z</dcterms:created>
  <dcterms:modified xsi:type="dcterms:W3CDTF">2026-07-28T10:38:39Z</dcterms:modified>
</cp:coreProperties>
</file>